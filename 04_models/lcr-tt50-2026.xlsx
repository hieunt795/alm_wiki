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KetQua" sheetId="2" state="visible" r:id="rId2"/>
    <sheet xmlns:r="http://schemas.openxmlformats.org/officeDocument/2006/relationships" name="ThamSo" sheetId="3" state="visible" r:id="rId3"/>
    <sheet xmlns:r="http://schemas.openxmlformats.org/officeDocument/2006/relationships" name="HQLA" sheetId="4" state="visible" r:id="rId4"/>
    <sheet xmlns:r="http://schemas.openxmlformats.org/officeDocument/2006/relationships" name="DongTienRa" sheetId="5" state="visible" r:id="rId5"/>
    <sheet xmlns:r="http://schemas.openxmlformats.org/officeDocument/2006/relationships" name="DongTienVao"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0.0000"/>
    <numFmt numFmtId="166" formatCode="yyyy-mm-dd"/>
    <numFmt numFmtId="167" formatCode="dd/mm/yyyy"/>
    <numFmt numFmtId="168" formatCode="#,##0.0;(#,##0.0);&quot;-&quot;"/>
    <numFmt numFmtId="169" formatCode="0.0%;(0.0%);&quot;-&quot;"/>
  </numFmts>
  <fonts count="11">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color rgb="000000FF"/>
      <sz val="10"/>
    </font>
    <font>
      <name val="Arial"/>
      <b val="1"/>
      <sz val="10"/>
    </font>
    <font>
      <name val="Arial"/>
      <color rgb="00008000"/>
      <sz val="10"/>
    </font>
    <font>
      <name val="Arial"/>
      <b val="1"/>
      <sz val="12"/>
    </font>
    <font>
      <name val="Arial"/>
      <b val="1"/>
      <color rgb="00C00000"/>
      <sz val="10"/>
    </font>
    <font>
      <name val="Arial"/>
      <sz val="11"/>
    </font>
  </fonts>
  <fills count="7">
    <fill>
      <patternFill/>
    </fill>
    <fill>
      <patternFill patternType="gray125"/>
    </fill>
    <fill>
      <patternFill patternType="solid">
        <fgColor rgb="001F3864"/>
      </patternFill>
    </fill>
    <fill>
      <patternFill patternType="solid">
        <fgColor rgb="00FFF2CC"/>
      </patternFill>
    </fill>
    <fill>
      <patternFill patternType="solid">
        <fgColor rgb="00FFFF00"/>
      </patternFill>
    </fill>
    <fill>
      <patternFill patternType="solid">
        <fgColor rgb="00D9E1F2"/>
      </patternFill>
    </fill>
    <fill>
      <patternFill patternType="solid">
        <fgColor rgb="00BDD7EE"/>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55">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top" wrapText="1"/>
    </xf>
    <xf numFmtId="0" fontId="7" fillId="0" borderId="0" applyAlignment="1" pivotButton="0" quotePrefix="0" xfId="0">
      <alignment vertical="top" wrapText="1"/>
    </xf>
    <xf numFmtId="0" fontId="5" fillId="4" borderId="0" applyAlignment="1" pivotButton="0" quotePrefix="0" xfId="0">
      <alignment vertical="top" wrapText="1"/>
    </xf>
    <xf numFmtId="0" fontId="9"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10" fillId="0" borderId="0" pivotButton="0" quotePrefix="0" xfId="0"/>
    <xf numFmtId="0" fontId="2" fillId="0" borderId="0" pivotButton="0" quotePrefix="0" xfId="0"/>
    <xf numFmtId="0" fontId="3" fillId="2" borderId="0" pivotButton="0" quotePrefix="0" xfId="0"/>
    <xf numFmtId="0" fontId="10" fillId="2" borderId="0" pivotButton="0" quotePrefix="0" xfId="0"/>
    <xf numFmtId="0" fontId="4" fillId="0" borderId="1" applyAlignment="1" pivotButton="0" quotePrefix="0" xfId="0">
      <alignment vertical="top" wrapText="1"/>
    </xf>
    <xf numFmtId="0" fontId="5" fillId="3" borderId="1" applyAlignment="1" pivotButton="0" quotePrefix="0" xfId="0">
      <alignment vertical="top"/>
    </xf>
    <xf numFmtId="0" fontId="10" fillId="0" borderId="1" applyAlignment="1" pivotButton="0" quotePrefix="0" xfId="0">
      <alignment vertical="top" wrapText="1"/>
    </xf>
    <xf numFmtId="167" fontId="5" fillId="3" borderId="1" applyAlignment="1" pivotButton="0" quotePrefix="0" xfId="0">
      <alignment vertical="top"/>
    </xf>
    <xf numFmtId="0" fontId="2" fillId="0" borderId="1" applyAlignment="1" pivotButton="0" quotePrefix="0" xfId="0">
      <alignment vertical="top" wrapText="1"/>
    </xf>
    <xf numFmtId="167" fontId="4" fillId="0" borderId="1" applyAlignment="1" pivotButton="0" quotePrefix="0" xfId="0">
      <alignment vertical="top"/>
    </xf>
    <xf numFmtId="169" fontId="5" fillId="3" borderId="1" applyAlignment="1" pivotButton="0" quotePrefix="0" xfId="0">
      <alignment vertical="top"/>
    </xf>
    <xf numFmtId="0" fontId="6" fillId="0" borderId="1" pivotButton="0" quotePrefix="0" xfId="0"/>
    <xf numFmtId="0" fontId="4" fillId="0" borderId="1" pivotButton="0" quotePrefix="0" xfId="0"/>
    <xf numFmtId="167" fontId="4" fillId="0" borderId="1" pivotButton="0" quotePrefix="0" xfId="0"/>
    <xf numFmtId="169" fontId="7" fillId="0" borderId="1" pivotButton="0" quotePrefix="0" xfId="0"/>
    <xf numFmtId="168" fontId="4" fillId="0" borderId="1" applyAlignment="1" pivotButton="0" quotePrefix="0" xfId="0">
      <alignment vertical="top"/>
    </xf>
    <xf numFmtId="169" fontId="8" fillId="0" borderId="1" applyAlignment="1" pivotButton="0" quotePrefix="0" xfId="0">
      <alignment vertical="top"/>
    </xf>
    <xf numFmtId="0" fontId="4" fillId="0" borderId="1" applyAlignment="1" pivotButton="0" quotePrefix="0" xfId="0">
      <alignment vertical="top"/>
    </xf>
    <xf numFmtId="169" fontId="4" fillId="0" borderId="1" applyAlignment="1" pivotButton="0" quotePrefix="0" xfId="0">
      <alignment vertical="top"/>
    </xf>
    <xf numFmtId="0" fontId="6" fillId="0" borderId="1" applyAlignment="1" pivotButton="0" quotePrefix="0" xfId="0">
      <alignment vertical="top"/>
    </xf>
    <xf numFmtId="0" fontId="3" fillId="2" borderId="1" applyAlignment="1" pivotButton="0" quotePrefix="0" xfId="0">
      <alignment horizontal="center" vertical="center" wrapText="1"/>
    </xf>
    <xf numFmtId="164" fontId="5" fillId="0" borderId="1" applyAlignment="1" pivotButton="0" quotePrefix="0" xfId="0">
      <alignment vertical="top" wrapText="1"/>
    </xf>
    <xf numFmtId="0" fontId="4" fillId="3" borderId="1" applyAlignment="1" pivotButton="0" quotePrefix="0" xfId="0">
      <alignment vertical="top" wrapText="1"/>
    </xf>
    <xf numFmtId="164" fontId="5" fillId="4" borderId="1" applyAlignment="1" pivotButton="0" quotePrefix="0" xfId="0">
      <alignment vertical="top" wrapText="1"/>
    </xf>
    <xf numFmtId="165" fontId="5" fillId="0" borderId="1" applyAlignment="1" pivotButton="0" quotePrefix="0" xfId="0">
      <alignment vertical="top" wrapText="1"/>
    </xf>
    <xf numFmtId="0" fontId="10" fillId="0" borderId="1" pivotButton="0" quotePrefix="0" xfId="0"/>
    <xf numFmtId="167" fontId="5" fillId="0" borderId="1" pivotButton="0" quotePrefix="0" xfId="0"/>
    <xf numFmtId="0" fontId="10" fillId="3" borderId="1" pivotButton="0" quotePrefix="0" xfId="0"/>
    <xf numFmtId="0" fontId="6" fillId="0" borderId="1" applyAlignment="1" pivotButton="0" quotePrefix="0" xfId="0">
      <alignment horizontal="center" vertical="center" wrapText="1"/>
    </xf>
    <xf numFmtId="0" fontId="6" fillId="5" borderId="1" pivotButton="0" quotePrefix="0" xfId="0"/>
    <xf numFmtId="0" fontId="6" fillId="5" borderId="1" applyAlignment="1" pivotButton="0" quotePrefix="0" xfId="0">
      <alignment vertical="top" wrapText="1"/>
    </xf>
    <xf numFmtId="168" fontId="6" fillId="5" borderId="1" pivotButton="0" quotePrefix="0" xfId="0"/>
    <xf numFmtId="169" fontId="6" fillId="5" borderId="1" pivotButton="0" quotePrefix="0" xfId="0"/>
    <xf numFmtId="0" fontId="2" fillId="5" borderId="1" applyAlignment="1" pivotButton="0" quotePrefix="0" xfId="0">
      <alignment vertical="top" wrapText="1"/>
    </xf>
    <xf numFmtId="168" fontId="5" fillId="3" borderId="1" pivotButton="0" quotePrefix="0" xfId="0"/>
    <xf numFmtId="168" fontId="4" fillId="0" borderId="1" pivotButton="0" quotePrefix="0" xfId="0"/>
    <xf numFmtId="169" fontId="7" fillId="4" borderId="1" pivotButton="0" quotePrefix="0" xfId="0"/>
    <xf numFmtId="0" fontId="6" fillId="6" borderId="1" applyAlignment="1" pivotButton="0" quotePrefix="0" xfId="0">
      <alignment vertical="top" wrapText="1"/>
    </xf>
    <xf numFmtId="0" fontId="6" fillId="6" borderId="1" pivotButton="0" quotePrefix="0" xfId="0"/>
    <xf numFmtId="168" fontId="6" fillId="6" borderId="1" pivotButton="0" quotePrefix="0" xfId="0"/>
    <xf numFmtId="0" fontId="2" fillId="6" borderId="1" applyAlignment="1" pivotButton="0" quotePrefix="0" xfId="0">
      <alignment vertical="top" wrapText="1"/>
    </xf>
    <xf numFmtId="0" fontId="2" fillId="0" borderId="1" pivotButton="0" quotePrefix="0" xfId="0"/>
    <xf numFmtId="168" fontId="2" fillId="0" borderId="1" pivotButton="0" quotePrefix="0" xfId="0"/>
    <xf numFmtId="169" fontId="2" fillId="0" borderId="1" pivotButton="0" quotePrefix="0" xfId="0"/>
    <xf numFmtId="0" fontId="1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Claude</author>
  </authors>
  <commentList>
    <comment ref="F6" authorId="0" shapeId="0">
      <text>
        <t>Level 1</t>
      </text>
    </comment>
    <comment ref="G6" authorId="0" shapeId="0">
      <text>
        <t>KĐC.L1</t>
      </text>
    </comment>
    <comment ref="F17" authorId="0" shapeId="0">
      <text>
        <t>Level 2A</t>
      </text>
    </comment>
    <comment ref="G17" authorId="0" shapeId="0">
      <text>
        <t>KĐC.L2A</t>
      </text>
    </comment>
    <comment ref="F21" authorId="0" shapeId="0">
      <text>
        <t>Level 2B</t>
      </text>
    </comment>
    <comment ref="G21" authorId="0" shapeId="0">
      <text>
        <t>KĐC.L2B</t>
      </text>
    </comment>
    <comment ref="G31" authorId="0" shapeId="0">
      <text>
        <t>Diễn giải trần (cần user duyệt): 5.2.2 không vượt 40% và tổng 5.2 không vượt 50% giá trị HQLA đủ điều kiện phải đáp ứng = ngưỡng LCR áp dụng × dòng tiền ra ròng (KetQua!C29).</t>
      </text>
    </comment>
  </commentList>
</comments>
</file>

<file path=xl/comments/comment2.xml><?xml version="1.0" encoding="utf-8"?>
<comments xmlns="http://schemas.openxmlformats.org/spreadsheetml/2006/main">
  <authors>
    <author>Claude</author>
  </authors>
  <commentList>
    <comment ref="I45" authorId="0" shapeId="0">
      <text>
        <t>PL1.B.V.2.2: chỉ phần chênh lệch dương giữa nghĩa vụ giải ngân và 50% dòng tiền vào 30 ngày từ cùng nhóm khách hàng được ghi nhận vào dòng tiền ra. Diễn giải: dòng vào lấy theo số dư hợp đồng (trước hệ số thu tiền) — cần user duyệt.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30" customWidth="1" min="1" max="1"/>
  </cols>
  <sheetData>
    <row r="1">
      <c r="A1" s="1" t="inlineStr">
        <is>
          <t>BIỂU TÍNH LCR THEO THÔNG TƯ 50/2026/TT-NHNN</t>
        </is>
      </c>
    </row>
    <row r="2">
      <c r="A2" s="2" t="inlineStr"/>
    </row>
    <row r="3">
      <c r="A3" s="3" t="inlineStr">
        <is>
          <t>Mục đích</t>
        </is>
      </c>
    </row>
    <row r="4">
      <c r="A4" s="2" t="inlineStr">
        <is>
          <t>Công cụ tính nội bộ tỷ lệ khả năng chi trả (LCR) theo Mục 5 Chương II và Phụ lục I TT50/2026/TT-NHNN. Các sheet HQLA, DongTienRa, DongTienVao giữ đúng số mục của Bảng 3, Bảng 6, Bảng 8 trong PL1. KHÔNG phải mẫu báo cáo thống kê chính thức gửi NHNN.</t>
        </is>
      </c>
    </row>
    <row r="5">
      <c r="A5" s="2" t="inlineStr"/>
    </row>
    <row r="6">
      <c r="A6" s="3" t="inlineStr">
        <is>
          <t>Hiệu lực và phạm vi</t>
        </is>
      </c>
    </row>
    <row r="7">
      <c r="A7" s="2" t="inlineStr">
        <is>
          <t>• TT50 hiệu lực 01/10/2026; LCR áp dụng từ 01/10/2028 theo lộ trình (Đ13.1, Đ16.1.c), hoặc sớm hơn nếu đăng ký (Đ13.2).</t>
        </is>
      </c>
    </row>
    <row r="8">
      <c r="A8" s="2" t="inlineStr">
        <is>
          <t>• Trước khi áp dụng LCR/NSFR, ngân hàng tuân thủ các tỷ lệ thanh khoản theo TT22/2019 (Đ13.4). File này KHÔNG tính các tỷ lệ đó.</t>
        </is>
      </c>
    </row>
    <row r="9">
      <c r="A9" s="2" t="inlineStr">
        <is>
          <t>• Mỗi loại LCR (quy VNĐ, VNĐ, ngoại tệ trọng yếu) và mỗi phạm vi (riêng lẻ, hợp nhất) dùng một bản file riêng.</t>
        </is>
      </c>
    </row>
    <row r="10">
      <c r="A10" s="2" t="inlineStr"/>
    </row>
    <row r="11">
      <c r="A11" s="3" t="inlineStr">
        <is>
          <t>Thứ tự sheet</t>
        </is>
      </c>
    </row>
    <row r="12">
      <c r="A12" s="2" t="inlineStr">
        <is>
          <t>KetQua — thông tin báo cáo, lộ trình, kết quả LCR, cảnh báo Đ18.1</t>
        </is>
      </c>
    </row>
    <row r="13">
      <c r="A13" s="2" t="inlineStr">
        <is>
          <t>HQLA — Bảng 3: HQLA đủ điều kiện, KĐC15%, KĐC40%, hạn mức</t>
        </is>
      </c>
    </row>
    <row r="14">
      <c r="A14" s="2" t="inlineStr">
        <is>
          <t>DongTienRa — Bảng 6: dòng tiền ra theo 4 time bucket</t>
        </is>
      </c>
    </row>
    <row r="15">
      <c r="A15" s="2" t="inlineStr">
        <is>
          <t>DongTienVao — Bảng 8: dòng tiền vào theo 4 time bucket</t>
        </is>
      </c>
    </row>
    <row r="16">
      <c r="A16" s="2" t="inlineStr">
        <is>
          <t>ThamSo — mọi hệ số TT50, kèm điều khoản, số dòng raw và citation wiki</t>
        </is>
      </c>
    </row>
    <row r="17">
      <c r="A17" s="2" t="inlineStr"/>
    </row>
    <row r="18">
      <c r="A18" s="3" t="inlineStr">
        <is>
          <t>Quy ước ô</t>
        </is>
      </c>
    </row>
    <row r="19">
      <c r="A19" s="4" t="inlineStr">
        <is>
          <t>Nền vàng nhạt, chữ xanh dương: ô nhập liệu</t>
        </is>
      </c>
    </row>
    <row r="20">
      <c r="A20" s="5" t="inlineStr">
        <is>
          <t>Chữ xanh lá: tham chiếu từ sheet khác (thường là hệ số ở ThamSo)</t>
        </is>
      </c>
    </row>
    <row r="21">
      <c r="A21" s="2" t="inlineStr">
        <is>
          <t>Chữ đen: công thức — không sửa</t>
        </is>
      </c>
    </row>
    <row r="22">
      <c r="A22" s="6" t="inlineStr">
        <is>
          <t>Nền vàng đậm (ThamSo): hệ số giữ chỗ do ngân hàng tự xác định, hoặc diễn giải cần duyệt</t>
        </is>
      </c>
    </row>
    <row r="23">
      <c r="A23" s="2" t="inlineStr"/>
    </row>
    <row r="24">
      <c r="A24" s="7" t="inlineStr">
        <is>
          <t>SỐ LIỆU TRONG FILE LÀ MINH HOẠ — thay bằng số liệu thật trước khi dùng.</t>
        </is>
      </c>
    </row>
    <row r="25">
      <c r="A25" s="2" t="inlineStr"/>
    </row>
    <row r="26">
      <c r="A26" s="3" t="inlineStr">
        <is>
          <t>Điểm cần duyệt trước khi dùng</t>
        </is>
      </c>
    </row>
    <row r="27">
      <c r="A27" s="2" t="inlineStr">
        <is>
          <t>1. Hệ số 5.3.2, 5.3.3 (DongTienRa) và 2.2.5 (HQLA): ngân hàng tự xác định; giá trị trong ThamSo chỉ là giữ chỗ.</t>
        </is>
      </c>
    </row>
    <row r="28">
      <c r="A28" s="2" t="inlineStr">
        <is>
          <t>2. Mục 5.2.2 (DongTienRa): diễn giải 'dòng vào từ cùng nhóm' là số dư hợp đồng trước hệ số thu tiền (PL1.B.V.2.2).</t>
        </is>
      </c>
    </row>
    <row r="29">
      <c r="A29" s="2" t="inlineStr">
        <is>
          <t>3. Mục 5.2 (HQLA): trần 40%/50% tính trên ngưỡng áp dụng × dòng tiền ra ròng (PL1.A.I.5). Chỉ dùng cho chi nhánh NHNNg.</t>
        </is>
      </c>
    </row>
    <row r="30">
      <c r="A30" s="2" t="inlineStr">
        <is>
          <t>4. Đ21.3: dòng tiền vào từ tài sản đã tính vào HQLA không được tính là dòng vào; khoản mục thuộc nhiều nhóm dòng ra dùng hệ số cao nhất. File không tự kiểm tra hai nguyên tắc này.</t>
        </is>
      </c>
    </row>
    <row r="31">
      <c r="A31" s="2" t="inlineStr">
        <is>
          <t>5. Đ18.1 cần chuỗi 30 ngày liên tục; file chỉ cảnh báo tại một ngày chốt.</t>
        </is>
      </c>
    </row>
    <row r="32">
      <c r="A32" s="2" t="inlineStr">
        <is>
          <t>6. Các hệ số đã được Claude đối chiếu với raw TT50 ngày 20/10/2026; cột 'Đối chiếu (user)' ở ThamSo để bạn tự xác nhận.</t>
        </is>
      </c>
    </row>
    <row r="33">
      <c r="A33" s="2" t="inlineStr"/>
    </row>
    <row r="34">
      <c r="A34" s="3" t="inlineStr">
        <is>
          <t>Nguồn</t>
        </is>
      </c>
    </row>
    <row r="35">
      <c r="A35" s="2" t="inlineStr">
        <is>
          <t>Raw: 01_sources/alm/TT50_2026_SBV/TT50_2026_SBV.md (Phụ lục I: dòng 1133–2004). Source note wiki: 02_wiki/sources/src-tt50-2026-nhnn.md. Node: [[lcr]], [[hqla]], [[cash-outflows]], [[cash-inflows]].</t>
        </is>
      </c>
    </row>
    <row r="36">
      <c r="A36" s="8" t="inlineStr">
        <is>
          <t>Dựng ngày 20/10/2026. Node wiki liên quan đang ở maturity 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showGridLines="0" workbookViewId="0">
      <selection activeCell="A1" sqref="A1"/>
    </sheetView>
  </sheetViews>
  <sheetFormatPr baseColWidth="8" defaultRowHeight="15"/>
  <cols>
    <col width="2" customWidth="1" min="1" max="1"/>
    <col width="52" customWidth="1" min="2" max="2"/>
    <col width="22" customWidth="1" min="3" max="3"/>
    <col width="70" customWidth="1" min="4" max="4"/>
  </cols>
  <sheetData>
    <row r="1">
      <c r="A1" s="9" t="inlineStr">
        <is>
          <t>TỶ LỆ KHẢ NĂNG CHI TRẢ (LCR) — TT50/2026/TT-NHNN</t>
        </is>
      </c>
      <c r="B1" s="10" t="n"/>
      <c r="C1" s="10" t="n"/>
      <c r="D1" s="10" t="n"/>
    </row>
    <row r="2">
      <c r="A2" s="11" t="inlineStr">
        <is>
          <t>Đơn vị: tỷ đồng. Ô nền vàng chữ xanh = nhập liệu. Số liệu trong file là MINH HOẠ.</t>
        </is>
      </c>
      <c r="B2" s="10" t="n"/>
      <c r="C2" s="10" t="n"/>
      <c r="D2" s="10" t="n"/>
    </row>
    <row r="3">
      <c r="A3" s="10" t="n"/>
      <c r="B3" s="10" t="n"/>
      <c r="C3" s="10" t="n"/>
      <c r="D3" s="10" t="n"/>
    </row>
    <row r="4">
      <c r="A4" s="10" t="n"/>
      <c r="B4" s="12" t="inlineStr">
        <is>
          <t>I. THÔNG TIN BÁO CÁO</t>
        </is>
      </c>
      <c r="C4" s="13" t="n"/>
      <c r="D4" s="13" t="n"/>
    </row>
    <row r="5">
      <c r="A5" s="10" t="n"/>
      <c r="B5" s="14" t="inlineStr">
        <is>
          <t>Tên ngân hàng</t>
        </is>
      </c>
      <c r="C5" s="15" t="inlineStr">
        <is>
          <t>Ngân hàng minh hoạ</t>
        </is>
      </c>
      <c r="D5" s="16" t="n"/>
    </row>
    <row r="6">
      <c r="A6" s="10" t="n"/>
      <c r="B6" s="14" t="inlineStr">
        <is>
          <t>Ngày chốt số liệu</t>
        </is>
      </c>
      <c r="C6" s="17" t="n">
        <v>47208</v>
      </c>
      <c r="D6" s="16" t="n"/>
    </row>
    <row r="7">
      <c r="A7" s="10" t="n"/>
      <c r="B7" s="14" t="inlineStr">
        <is>
          <t>Loại LCR</t>
        </is>
      </c>
      <c r="C7" s="15" t="inlineStr">
        <is>
          <t>LCR quy VNĐ</t>
        </is>
      </c>
      <c r="D7" s="18" t="inlineStr">
        <is>
          <t>Đ16.1.a: LCR quy VNĐ / LCR VNĐ / LCR ngoại tệ trọng yếu. Mỗi loại dùng một bản file.</t>
        </is>
      </c>
    </row>
    <row r="8">
      <c r="A8" s="10" t="n"/>
      <c r="B8" s="14" t="inlineStr">
        <is>
          <t>Phạm vi</t>
        </is>
      </c>
      <c r="C8" s="15" t="inlineStr">
        <is>
          <t>Riêng lẻ</t>
        </is>
      </c>
      <c r="D8" s="18" t="inlineStr">
        <is>
          <t>Lộ trình Đ16.1.c chỉ áp cho LCR quy VNĐ riêng lẻ; loại khác dùng ngưỡng nội bộ (ô C12).</t>
        </is>
      </c>
    </row>
    <row r="9">
      <c r="A9" s="10" t="n"/>
      <c r="B9" s="14" t="inlineStr">
        <is>
          <t>Đối tượng áp dụng lộ trình</t>
        </is>
      </c>
      <c r="C9" s="15" t="inlineStr">
        <is>
          <t>Đ13.1</t>
        </is>
      </c>
      <c r="D9" s="18" t="inlineStr">
        <is>
          <t>Đ13.1: từ 01/10/2028. Đ13.2.a: đăng ký áp dụng sớm → nhập ô C10.</t>
        </is>
      </c>
    </row>
    <row r="10">
      <c r="A10" s="10" t="n"/>
      <c r="B10" s="14" t="inlineStr">
        <is>
          <t>Ngày đầu tháng sau tháng đăng ký (nếu Đ13.2.a)</t>
        </is>
      </c>
      <c r="C10" s="17" t="n"/>
      <c r="D10" s="16" t="n"/>
    </row>
    <row r="11">
      <c r="A11" s="10" t="n"/>
      <c r="B11" s="14" t="inlineStr">
        <is>
          <t>Ngày bắt đầu lộ trình</t>
        </is>
      </c>
      <c r="C11" s="19">
        <f>IF(C9="Đ13.1",ThamSo!$E$82,C10)</f>
        <v/>
      </c>
      <c r="D11" s="16" t="n"/>
    </row>
    <row r="12">
      <c r="A12" s="10" t="n"/>
      <c r="B12" s="14" t="inlineStr">
        <is>
          <t>Ngưỡng ghi đè (tuỳ chọn)</t>
        </is>
      </c>
      <c r="C12" s="20" t="n"/>
      <c r="D12" s="18" t="inlineStr">
        <is>
          <t>Để trống để dùng lộ trình. Nhập khi tính LCR VNĐ/ngoại tệ/hợp nhất theo ngưỡng nội bộ, hoặc khi áp ngưỡng 100% theo Đ13.2.b/Đ13.3.</t>
        </is>
      </c>
    </row>
    <row r="13">
      <c r="A13" s="10" t="n"/>
      <c r="B13" s="10" t="n"/>
      <c r="C13" s="10" t="n"/>
      <c r="D13" s="10" t="n"/>
    </row>
    <row r="14">
      <c r="A14" s="10" t="n"/>
      <c r="B14" s="12" t="inlineStr">
        <is>
          <t>II. LỘ TRÌNH NGƯỠNG TỐI THIỂU (Đ16.1.c, Bảng 1)</t>
        </is>
      </c>
      <c r="C14" s="13" t="n"/>
      <c r="D14" s="13" t="n"/>
    </row>
    <row r="15">
      <c r="A15" s="10" t="n"/>
      <c r="B15" s="21" t="inlineStr">
        <is>
          <t>Năm áp dụng</t>
        </is>
      </c>
      <c r="C15" s="21" t="inlineStr">
        <is>
          <t>Từ ngày</t>
        </is>
      </c>
      <c r="D15" s="21" t="inlineStr">
        <is>
          <t>Ngưỡng LCR quy VNĐ riêng lẻ</t>
        </is>
      </c>
    </row>
    <row r="16">
      <c r="A16" s="10" t="n"/>
      <c r="B16" s="22" t="inlineStr">
        <is>
          <t>Năm thứ 1</t>
        </is>
      </c>
      <c r="C16" s="23">
        <f>DATE(YEAR($C$11)+0,MONTH($C$11),DAY($C$11))</f>
        <v/>
      </c>
      <c r="D16" s="24">
        <f>ThamSo!$E$75</f>
        <v/>
      </c>
    </row>
    <row r="17">
      <c r="A17" s="10" t="n"/>
      <c r="B17" s="22" t="inlineStr">
        <is>
          <t>Năm thứ 2</t>
        </is>
      </c>
      <c r="C17" s="23">
        <f>DATE(YEAR($C$11)+1,MONTH($C$11),DAY($C$11))</f>
        <v/>
      </c>
      <c r="D17" s="24">
        <f>ThamSo!$E$76</f>
        <v/>
      </c>
    </row>
    <row r="18">
      <c r="A18" s="10" t="n"/>
      <c r="B18" s="22" t="inlineStr">
        <is>
          <t>Năm thứ 3</t>
        </is>
      </c>
      <c r="C18" s="23">
        <f>DATE(YEAR($C$11)+2,MONTH($C$11),DAY($C$11))</f>
        <v/>
      </c>
      <c r="D18" s="24">
        <f>ThamSo!$E$77</f>
        <v/>
      </c>
    </row>
    <row r="19">
      <c r="A19" s="10" t="n"/>
      <c r="B19" s="22" t="inlineStr">
        <is>
          <t>Năm thứ 4</t>
        </is>
      </c>
      <c r="C19" s="23">
        <f>DATE(YEAR($C$11)+3,MONTH($C$11),DAY($C$11))</f>
        <v/>
      </c>
      <c r="D19" s="24">
        <f>ThamSo!$E$78</f>
        <v/>
      </c>
    </row>
    <row r="20">
      <c r="A20" s="10" t="n"/>
      <c r="B20" s="22" t="inlineStr">
        <is>
          <t>Năm thứ 5</t>
        </is>
      </c>
      <c r="C20" s="23">
        <f>DATE(YEAR($C$11)+4,MONTH($C$11),DAY($C$11))</f>
        <v/>
      </c>
      <c r="D20" s="24">
        <f>ThamSo!$E$79</f>
        <v/>
      </c>
    </row>
    <row r="21">
      <c r="A21" s="10" t="n"/>
      <c r="B21" s="22" t="inlineStr">
        <is>
          <t>Năm thứ 6 trở đi</t>
        </is>
      </c>
      <c r="C21" s="23">
        <f>DATE(YEAR($C$11)+5,MONTH($C$11),DAY($C$11))</f>
        <v/>
      </c>
      <c r="D21" s="24">
        <f>ThamSo!$E$80</f>
        <v/>
      </c>
    </row>
    <row r="22">
      <c r="A22" s="10" t="n"/>
      <c r="B22" s="10" t="n"/>
      <c r="C22" s="10" t="n"/>
      <c r="D22" s="10" t="n"/>
    </row>
    <row r="23">
      <c r="A23" s="10" t="n"/>
      <c r="B23" s="12" t="inlineStr">
        <is>
          <t>III. KẾT QUẢ</t>
        </is>
      </c>
      <c r="C23" s="13" t="n"/>
      <c r="D23" s="13" t="n"/>
    </row>
    <row r="24">
      <c r="A24" s="10" t="n"/>
      <c r="B24" s="14" t="inlineStr">
        <is>
          <t>Giá trị HQLA đủ điều kiện</t>
        </is>
      </c>
      <c r="C24" s="25">
        <f>HQLA!G34</f>
        <v/>
      </c>
      <c r="D24" s="18" t="inlineStr">
        <is>
          <t>Đ16.1.b; PL1 Phần A</t>
        </is>
      </c>
    </row>
    <row r="25">
      <c r="A25" s="10" t="n"/>
      <c r="B25" s="14" t="inlineStr">
        <is>
          <t>Tổng dòng tiền ra</t>
        </is>
      </c>
      <c r="C25" s="25">
        <f>DongTienRa!I57</f>
        <v/>
      </c>
      <c r="D25" s="18" t="inlineStr">
        <is>
          <t>Đ21.2; PL1 Phần B</t>
        </is>
      </c>
    </row>
    <row r="26">
      <c r="A26" s="10" t="n"/>
      <c r="B26" s="14" t="inlineStr">
        <is>
          <t>Tổng dòng tiền vào (trước trần)</t>
        </is>
      </c>
      <c r="C26" s="25">
        <f>DongTienVao!I30</f>
        <v/>
      </c>
      <c r="D26" s="18" t="inlineStr">
        <is>
          <t>Đ21.2; PL1 Phần C</t>
        </is>
      </c>
    </row>
    <row r="27">
      <c r="A27" s="10" t="n"/>
      <c r="B27" s="14" t="inlineStr">
        <is>
          <t>Trần dòng tiền vào = 75% × Tổng dòng tiền ra</t>
        </is>
      </c>
      <c r="C27" s="25">
        <f>ThamSo!$E$73*C25</f>
        <v/>
      </c>
      <c r="D27" s="18" t="inlineStr">
        <is>
          <t>Đ21.2</t>
        </is>
      </c>
    </row>
    <row r="28">
      <c r="A28" s="10" t="n"/>
      <c r="B28" s="14" t="inlineStr">
        <is>
          <t>Dòng tiền vào được tính = Min(dòng vào, trần)</t>
        </is>
      </c>
      <c r="C28" s="25">
        <f>MIN(C26,C27)</f>
        <v/>
      </c>
      <c r="D28" s="16" t="n"/>
    </row>
    <row r="29">
      <c r="A29" s="10" t="n"/>
      <c r="B29" s="14" t="inlineStr">
        <is>
          <t>Tổng dòng tiền ra ròng 30 ngày</t>
        </is>
      </c>
      <c r="C29" s="25">
        <f>C25-C28</f>
        <v/>
      </c>
      <c r="D29" s="18" t="inlineStr">
        <is>
          <t>Tổng dòng tiền ra – Min(Tổng dòng tiền vào, 75% Tổng dòng tiền ra)</t>
        </is>
      </c>
    </row>
    <row r="30">
      <c r="A30" s="10" t="n"/>
      <c r="B30" s="14" t="inlineStr">
        <is>
          <t>Tỷ lệ LCR</t>
        </is>
      </c>
      <c r="C30" s="26">
        <f>IF(C29&gt;0,C24/C29,"n/a")</f>
        <v/>
      </c>
      <c r="D30" s="18" t="inlineStr">
        <is>
          <t>LCR = HQLA đủ điều kiện / Dòng tiền ra ròng 30 ngày × 100%</t>
        </is>
      </c>
    </row>
    <row r="31">
      <c r="A31" s="10" t="n"/>
      <c r="B31" s="14" t="inlineStr">
        <is>
          <t>Trạng thái lộ trình</t>
        </is>
      </c>
      <c r="C31" s="27">
        <f>IF(C6&lt;C11,"Chưa đến lộ trình",INDEX(B16:B21,MATCH(C6,C16:C21,1)))</f>
        <v/>
      </c>
      <c r="D31" s="16" t="n"/>
    </row>
    <row r="32">
      <c r="A32" s="10" t="n"/>
      <c r="B32" s="14" t="inlineStr">
        <is>
          <t>Ngưỡng theo lộ trình</t>
        </is>
      </c>
      <c r="C32" s="28">
        <f>IF(C6&lt;C11,0,INDEX(D16:D21,MATCH(C6,C16:C21,1)))</f>
        <v/>
      </c>
      <c r="D32" s="16" t="n"/>
    </row>
    <row r="33">
      <c r="A33" s="10" t="n"/>
      <c r="B33" s="14" t="inlineStr">
        <is>
          <t>Ngưỡng áp dụng</t>
        </is>
      </c>
      <c r="C33" s="28">
        <f>IF(C12="",C32,C12)</f>
        <v/>
      </c>
      <c r="D33" s="16" t="n"/>
    </row>
    <row r="34">
      <c r="A34" s="10" t="n"/>
      <c r="B34" s="14" t="inlineStr">
        <is>
          <t>Kết luận</t>
        </is>
      </c>
      <c r="C34" s="29">
        <f>IF(NOT(ISNUMBER(C30)),"-",IF(C33=0,"Chỉ theo dõi (chưa có ngưỡng)",IF(C30&gt;=C33,"Đạt","Không đạt")))</f>
        <v/>
      </c>
      <c r="D34" s="16" t="n"/>
    </row>
    <row r="35">
      <c r="A35" s="10" t="n"/>
      <c r="B35" s="14" t="inlineStr">
        <is>
          <t>HQLA đủ điều kiện phải đáp ứng = Ngưỡng × Dòng tiền ra ròng</t>
        </is>
      </c>
      <c r="C35" s="25">
        <f>C33*C29</f>
        <v/>
      </c>
      <c r="D35" s="16" t="n"/>
    </row>
    <row r="36">
      <c r="A36" s="10" t="n"/>
      <c r="B36" s="14" t="inlineStr">
        <is>
          <t>HQLA đủ điều kiện / HQLA phải đáp ứng</t>
        </is>
      </c>
      <c r="C36" s="28">
        <f>IF(C35&gt;0,C24/C35,"n/a")</f>
        <v/>
      </c>
      <c r="D36" s="18" t="inlineStr">
        <is>
          <t>Đ18.1: dưới 90% trong 30 ngày liên tục → nguy cơ mất khả năng chi trả</t>
        </is>
      </c>
    </row>
    <row r="37">
      <c r="A37" s="10" t="n"/>
      <c r="B37" s="14" t="inlineStr">
        <is>
          <t>Cảnh báo Đ18.1 (tại ngày chốt)</t>
        </is>
      </c>
      <c r="C37" s="27">
        <f>IF(NOT(ISNUMBER(C36)),"-",IF(C36&lt;ThamSo!$E$74,"Dưới 90% — theo dõi chuỗi 30 ngày","Không"))</f>
        <v/>
      </c>
      <c r="D37" s="16" t="n"/>
    </row>
    <row r="38">
      <c r="A38" s="10" t="n"/>
      <c r="B38" s="10" t="n"/>
      <c r="C38" s="10" t="n"/>
      <c r="D38" s="10" t="n"/>
    </row>
    <row r="39">
      <c r="A39" s="10" t="n"/>
      <c r="B39" s="12" t="inlineStr">
        <is>
          <t>IV. CƠ CẤU HQLA (tham khảo)</t>
        </is>
      </c>
      <c r="C39" s="13" t="n"/>
      <c r="D39" s="13" t="n"/>
    </row>
    <row r="40">
      <c r="A40" s="10" t="n"/>
      <c r="B40" s="14" t="inlineStr">
        <is>
          <t>Level 1 (sau hệ số)</t>
        </is>
      </c>
      <c r="C40" s="25">
        <f>HQLA!F6</f>
        <v/>
      </c>
      <c r="D40" s="16" t="n"/>
    </row>
    <row r="41">
      <c r="A41" s="10" t="n"/>
      <c r="B41" s="14" t="inlineStr">
        <is>
          <t>Level 2A (sau hệ số)</t>
        </is>
      </c>
      <c r="C41" s="25">
        <f>HQLA!F17</f>
        <v/>
      </c>
      <c r="D41" s="16" t="n"/>
    </row>
    <row r="42">
      <c r="A42" s="10" t="n"/>
      <c r="B42" s="14" t="inlineStr">
        <is>
          <t>Level 2B (sau hệ số)</t>
        </is>
      </c>
      <c r="C42" s="25">
        <f>HQLA!F21</f>
        <v/>
      </c>
      <c r="D42" s="16" t="n"/>
    </row>
    <row r="43">
      <c r="A43" s="10" t="n"/>
      <c r="B43" s="14" t="inlineStr">
        <is>
          <t>KĐC15% + KĐC40% (phần bị loại do trần)</t>
        </is>
      </c>
      <c r="C43" s="25">
        <f>HQLA!G27+HQLA!G28</f>
        <v/>
      </c>
      <c r="D43" s="16" t="n"/>
    </row>
    <row r="44">
      <c r="A44" s="10" t="n"/>
      <c r="B44" s="14" t="inlineStr">
        <is>
          <t>Tỷ trọng cấp 2 trong HQLA đủ điều kiện</t>
        </is>
      </c>
      <c r="C44" s="28">
        <f>IF(C24&gt;0,(C41+C42-C43)/C24,"n/a")</f>
        <v/>
      </c>
      <c r="D44" s="18" t="inlineStr">
        <is>
          <t>Chỉ để tham khảo; trần thực tế tính trên giá trị sau unwinding (KĐC).</t>
        </is>
      </c>
    </row>
  </sheetData>
  <dataValidations count="3">
    <dataValidation sqref="C7" showDropDown="0" showInputMessage="0" showErrorMessage="0" allowBlank="0" type="list">
      <formula1>"LCR quy VNĐ,LCR VNĐ,LCR ngoại tệ trọng yếu"</formula1>
    </dataValidation>
    <dataValidation sqref="C8" showDropDown="0" showInputMessage="0" showErrorMessage="0" allowBlank="0" type="list">
      <formula1>"Riêng lẻ,Hợp nhất"</formula1>
    </dataValidation>
    <dataValidation sqref="C9" showDropDown="0" showInputMessage="0" showErrorMessage="0" allowBlank="0" type="list">
      <formula1>"Đ13.1,Đ13.2.a"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2"/>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16" customWidth="1" min="3" max="3"/>
    <col width="52" customWidth="1" min="4" max="4"/>
    <col width="9" customWidth="1" min="5" max="5"/>
    <col width="20" customWidth="1" min="6" max="6"/>
    <col width="9" customWidth="1" min="7" max="7"/>
    <col width="30" customWidth="1" min="8" max="8"/>
    <col width="46" customWidth="1" min="9" max="9"/>
    <col width="12" customWidth="1" min="10" max="10"/>
  </cols>
  <sheetData>
    <row r="1">
      <c r="A1" s="9" t="inlineStr">
        <is>
          <t>THAM SỐ — hệ số do TT50/2026/TT-NHNN ấn định</t>
        </is>
      </c>
      <c r="B1" s="10" t="n"/>
      <c r="C1" s="10" t="n"/>
      <c r="D1" s="10" t="n"/>
      <c r="E1" s="10" t="n"/>
      <c r="F1" s="10" t="n"/>
      <c r="G1" s="10" t="n"/>
      <c r="H1" s="10" t="n"/>
      <c r="I1" s="10" t="n"/>
      <c r="J1" s="10" t="n"/>
    </row>
    <row r="2" ht="28" customHeight="1">
      <c r="A2" s="8" t="inlineStr">
        <is>
          <t>Mỗi hệ số một ô, các sheet tính toán tham chiếu tới đây. Cột 'Dòng raw' là số dòng trong 01_sources/alm/TT50_2026_SBV/TT50_2026_SBV.md. Cột 'Đối chiếu (user)': ghi Y sau khi tự kiểm với văn bản gốc.</t>
        </is>
      </c>
      <c r="B2" s="10" t="n"/>
      <c r="C2" s="10" t="n"/>
      <c r="D2" s="10" t="n"/>
      <c r="E2" s="10" t="n"/>
      <c r="F2" s="10" t="n"/>
      <c r="G2" s="10" t="n"/>
      <c r="H2" s="10" t="n"/>
      <c r="I2" s="10" t="n"/>
      <c r="J2" s="10" t="n"/>
    </row>
    <row r="3">
      <c r="A3" s="10" t="n"/>
      <c r="B3" s="10" t="n"/>
      <c r="C3" s="10" t="n"/>
      <c r="D3" s="10" t="n"/>
      <c r="E3" s="10" t="n"/>
      <c r="F3" s="10" t="n"/>
      <c r="G3" s="10" t="n"/>
      <c r="H3" s="10" t="n"/>
      <c r="I3" s="10" t="n"/>
      <c r="J3" s="10" t="n"/>
    </row>
    <row r="4" ht="45" customHeight="1">
      <c r="A4" s="30" t="inlineStr">
        <is>
          <t>Mã</t>
        </is>
      </c>
      <c r="B4" s="30" t="inlineStr">
        <is>
          <t>Nhóm</t>
        </is>
      </c>
      <c r="C4" s="30" t="inlineStr">
        <is>
          <t>Mục biểu mẫu</t>
        </is>
      </c>
      <c r="D4" s="30" t="inlineStr">
        <is>
          <t>Mô tả</t>
        </is>
      </c>
      <c r="E4" s="30" t="inlineStr">
        <is>
          <t>Hệ số</t>
        </is>
      </c>
      <c r="F4" s="30" t="inlineStr">
        <is>
          <t>Căn cứ TT50</t>
        </is>
      </c>
      <c r="G4" s="30" t="inlineStr">
        <is>
          <t>Dòng raw</t>
        </is>
      </c>
      <c r="H4" s="30" t="inlineStr">
        <is>
          <t>Citation wiki</t>
        </is>
      </c>
      <c r="I4" s="30" t="inlineStr">
        <is>
          <t>Ghi chú</t>
        </is>
      </c>
      <c r="J4" s="30" t="inlineStr">
        <is>
          <t>Đối chiếu (user)</t>
        </is>
      </c>
    </row>
    <row r="5">
      <c r="A5" s="14" t="inlineStr">
        <is>
          <t>HQ_L1</t>
        </is>
      </c>
      <c r="B5" s="14" t="inlineStr">
        <is>
          <t>HQLA</t>
        </is>
      </c>
      <c r="C5" s="14" t="inlineStr">
        <is>
          <t>Bảng 3: 1.1–1.7</t>
        </is>
      </c>
      <c r="D5" s="14" t="inlineStr">
        <is>
          <t>Hệ số thanh khoản tài sản cấp 1</t>
        </is>
      </c>
      <c r="E5" s="31" t="n">
        <v>1</v>
      </c>
      <c r="F5" s="14" t="inlineStr">
        <is>
          <t>PL1.A.II.1</t>
        </is>
      </c>
      <c r="G5" s="14" t="n">
        <v>1217</v>
      </c>
      <c r="H5" s="14" t="inlineStr">
        <is>
          <t>[[src-tt50-2026-nhnn#^pl1-a2]]</t>
        </is>
      </c>
      <c r="I5" s="14" t="inlineStr">
        <is>
          <t>NHNN có quyền yêu cầu hệ số thấp hơn (PL1.A.II.2)</t>
        </is>
      </c>
      <c r="J5" s="32" t="n"/>
    </row>
    <row r="6">
      <c r="A6" s="14" t="inlineStr">
        <is>
          <t>HQ_L2A</t>
        </is>
      </c>
      <c r="B6" s="14" t="inlineStr">
        <is>
          <t>HQLA</t>
        </is>
      </c>
      <c r="C6" s="14" t="inlineStr">
        <is>
          <t>Bảng 3: 2.1.1–2.1.3</t>
        </is>
      </c>
      <c r="D6" s="14" t="inlineStr">
        <is>
          <t>Hệ số thanh khoản tài sản cấp 2A</t>
        </is>
      </c>
      <c r="E6" s="31" t="n">
        <v>0.85</v>
      </c>
      <c r="F6" s="14" t="inlineStr">
        <is>
          <t>PL1.A.III.1</t>
        </is>
      </c>
      <c r="G6" s="14" t="n">
        <v>1263</v>
      </c>
      <c r="H6" s="14" t="inlineStr">
        <is>
          <t>[[src-tt50-2026-nhnn#^pl1-a3]]</t>
        </is>
      </c>
      <c r="I6" s="14" t="inlineStr"/>
      <c r="J6" s="32" t="n"/>
    </row>
    <row r="7">
      <c r="A7" s="14" t="inlineStr">
        <is>
          <t>HQ_RMBS</t>
        </is>
      </c>
      <c r="B7" s="14" t="inlineStr">
        <is>
          <t>HQLA</t>
        </is>
      </c>
      <c r="C7" s="14" t="inlineStr">
        <is>
          <t>Bảng 3: 2.2.1</t>
        </is>
      </c>
      <c r="D7" s="14" t="inlineStr">
        <is>
          <t>Hệ số thanh khoản RMBS đủ điều kiện (cấp 2B)</t>
        </is>
      </c>
      <c r="E7" s="31" t="n">
        <v>0.75</v>
      </c>
      <c r="F7" s="14" t="inlineStr">
        <is>
          <t>PL1.A.IV.3.a</t>
        </is>
      </c>
      <c r="G7" s="14" t="n">
        <v>1299</v>
      </c>
      <c r="H7" s="14" t="inlineStr">
        <is>
          <t>[[src-tt50-2026-nhnn#^pl1-a4]]</t>
        </is>
      </c>
      <c r="I7" s="14" t="inlineStr"/>
      <c r="J7" s="32" t="n"/>
    </row>
    <row r="8">
      <c r="A8" s="14" t="inlineStr">
        <is>
          <t>HQ_CORP2B</t>
        </is>
      </c>
      <c r="B8" s="14" t="inlineStr">
        <is>
          <t>HQLA</t>
        </is>
      </c>
      <c r="C8" s="14" t="inlineStr">
        <is>
          <t>Bảng 3: 2.2.2</t>
        </is>
      </c>
      <c r="D8" s="14" t="inlineStr">
        <is>
          <t>Hệ số thanh khoản chứng khoán nợ DN từ BBB- (cấp 2B)</t>
        </is>
      </c>
      <c r="E8" s="31" t="n">
        <v>0.5</v>
      </c>
      <c r="F8" s="14" t="inlineStr">
        <is>
          <t>PL1.A.IV.3.b</t>
        </is>
      </c>
      <c r="G8" s="14" t="n">
        <v>1317</v>
      </c>
      <c r="H8" s="14" t="inlineStr">
        <is>
          <t>[[src-tt50-2026-nhnn#^pl1-a4]]</t>
        </is>
      </c>
      <c r="I8" s="14" t="inlineStr"/>
      <c r="J8" s="32" t="n"/>
    </row>
    <row r="9">
      <c r="A9" s="14" t="inlineStr">
        <is>
          <t>HQ_SOV2B</t>
        </is>
      </c>
      <c r="B9" s="14" t="inlineStr">
        <is>
          <t>HQLA</t>
        </is>
      </c>
      <c r="C9" s="14" t="inlineStr">
        <is>
          <t>Bảng 3: 2.2.3</t>
        </is>
      </c>
      <c r="D9" s="14" t="inlineStr">
        <is>
          <t>Hệ số thanh khoản chứng khoán Chính phủ/NHTW nước ngoài từ BBB- (cấp 2B)</t>
        </is>
      </c>
      <c r="E9" s="31" t="n">
        <v>0.5</v>
      </c>
      <c r="F9" s="14" t="inlineStr">
        <is>
          <t>PL1.A.IV.3.c</t>
        </is>
      </c>
      <c r="G9" s="14" t="n">
        <v>1327</v>
      </c>
      <c r="H9" s="14" t="inlineStr">
        <is>
          <t>[[src-tt50-2026-nhnn#^pl1-a4]]</t>
        </is>
      </c>
      <c r="I9" s="14" t="inlineStr"/>
      <c r="J9" s="32" t="n"/>
    </row>
    <row r="10">
      <c r="A10" s="14" t="inlineStr">
        <is>
          <t>HQ_EQ2B</t>
        </is>
      </c>
      <c r="B10" s="14" t="inlineStr">
        <is>
          <t>HQLA</t>
        </is>
      </c>
      <c r="C10" s="14" t="inlineStr">
        <is>
          <t>Bảng 3: 2.2.4</t>
        </is>
      </c>
      <c r="D10" s="14" t="inlineStr">
        <is>
          <t>Hệ số thanh khoản cổ phiếu phổ thông đủ điều kiện (cấp 2B)</t>
        </is>
      </c>
      <c r="E10" s="31" t="n">
        <v>0.5</v>
      </c>
      <c r="F10" s="14" t="inlineStr">
        <is>
          <t>PL1.A.IV.3.d</t>
        </is>
      </c>
      <c r="G10" s="14" t="n">
        <v>1337</v>
      </c>
      <c r="H10" s="14" t="inlineStr">
        <is>
          <t>[[src-tt50-2026-nhnn#^pl1-a4]]</t>
        </is>
      </c>
      <c r="I10" s="14" t="inlineStr"/>
      <c r="J10" s="32" t="n"/>
    </row>
    <row r="11">
      <c r="A11" s="14" t="inlineStr">
        <is>
          <t>HQ_BR2B</t>
        </is>
      </c>
      <c r="B11" s="14" t="inlineStr">
        <is>
          <t>HQLA</t>
        </is>
      </c>
      <c r="C11" s="14" t="inlineStr">
        <is>
          <t>Bảng 3: 2.2.5</t>
        </is>
      </c>
      <c r="D11" s="14" t="inlineStr">
        <is>
          <t>Hệ số thanh khoản tài sản cấp 2B của chi nhánh ở nước ngoài</t>
        </is>
      </c>
      <c r="E11" s="33" t="n">
        <v>0.5</v>
      </c>
      <c r="F11" s="14" t="inlineStr">
        <is>
          <t>PL1.A.IV.3.đ</t>
        </is>
      </c>
      <c r="G11" s="14" t="n">
        <v>1378</v>
      </c>
      <c r="H11" s="14" t="inlineStr">
        <is>
          <t>chưa có claim trong source note</t>
        </is>
      </c>
      <c r="I11" s="14" t="inlineStr">
        <is>
          <t>Biểu mẫu ghi 'Theo từng loại'. Giá trị 50% là giữ chỗ — NGÂN HÀNG NHẬP theo loại tài sản (75% nếu RMBS).</t>
        </is>
      </c>
      <c r="J11" s="32" t="n"/>
    </row>
    <row r="12">
      <c r="A12" s="14" t="inlineStr">
        <is>
          <t>KDC_1585</t>
        </is>
      </c>
      <c r="B12" s="14" t="inlineStr">
        <is>
          <t>HQLA</t>
        </is>
      </c>
      <c r="C12" s="14" t="inlineStr">
        <is>
          <t>Bảng 3: 3</t>
        </is>
      </c>
      <c r="D12" s="14" t="inlineStr">
        <is>
          <t>Hệ số 15/85 trong KĐC15%</t>
        </is>
      </c>
      <c r="E12" s="34" t="n">
        <v>0.1764705882352941</v>
      </c>
      <c r="F12" s="14" t="inlineStr">
        <is>
          <t>PL1.A.I.2</t>
        </is>
      </c>
      <c r="G12" s="14" t="n">
        <v>1143</v>
      </c>
      <c r="H12" s="14" t="inlineStr">
        <is>
          <t>[[src-tt50-2026-nhnn#^pl1-a1]]</t>
        </is>
      </c>
      <c r="I12" s="14" t="inlineStr">
        <is>
          <t>Trần cấp 2B ≈ 15% HQLA</t>
        </is>
      </c>
      <c r="J12" s="32" t="n"/>
    </row>
    <row r="13">
      <c r="A13" s="14" t="inlineStr">
        <is>
          <t>KDC_1560</t>
        </is>
      </c>
      <c r="B13" s="14" t="inlineStr">
        <is>
          <t>HQLA</t>
        </is>
      </c>
      <c r="C13" s="14" t="inlineStr">
        <is>
          <t>Bảng 3: 3</t>
        </is>
      </c>
      <c r="D13" s="14" t="inlineStr">
        <is>
          <t>Hệ số 15/60 trong KĐC15%</t>
        </is>
      </c>
      <c r="E13" s="34" t="n">
        <v>0.25</v>
      </c>
      <c r="F13" s="14" t="inlineStr">
        <is>
          <t>PL1.A.I.2</t>
        </is>
      </c>
      <c r="G13" s="14" t="n">
        <v>1143</v>
      </c>
      <c r="H13" s="14" t="inlineStr">
        <is>
          <t>[[src-tt50-2026-nhnn#^pl1-a1]]</t>
        </is>
      </c>
      <c r="I13" s="14" t="inlineStr"/>
      <c r="J13" s="32" t="n"/>
    </row>
    <row r="14">
      <c r="A14" s="14" t="inlineStr">
        <is>
          <t>KDC_23</t>
        </is>
      </c>
      <c r="B14" s="14" t="inlineStr">
        <is>
          <t>HQLA</t>
        </is>
      </c>
      <c r="C14" s="14" t="inlineStr">
        <is>
          <t>Bảng 3: 4</t>
        </is>
      </c>
      <c r="D14" s="14" t="inlineStr">
        <is>
          <t>Hệ số 2/3 trong KĐC40%</t>
        </is>
      </c>
      <c r="E14" s="34" t="n">
        <v>0.6666666666666666</v>
      </c>
      <c r="F14" s="14" t="inlineStr">
        <is>
          <t>PL1.A.I.3</t>
        </is>
      </c>
      <c r="G14" s="14" t="n">
        <v>1145</v>
      </c>
      <c r="H14" s="14" t="inlineStr">
        <is>
          <t>[[src-tt50-2026-nhnn#^pl1-a1]]</t>
        </is>
      </c>
      <c r="I14" s="14" t="inlineStr">
        <is>
          <t>Trần cấp 2 ≈ 40% HQLA</t>
        </is>
      </c>
      <c r="J14" s="32" t="n"/>
    </row>
    <row r="15">
      <c r="A15" s="14" t="inlineStr">
        <is>
          <t>HM_MAX</t>
        </is>
      </c>
      <c r="B15" s="14" t="inlineStr">
        <is>
          <t>HQLA</t>
        </is>
      </c>
      <c r="C15" s="14" t="inlineStr">
        <is>
          <t>Bảng 3: 5.2</t>
        </is>
      </c>
      <c r="D15" s="14" t="inlineStr">
        <is>
          <t>Trần hạn mức ngân hàng mẹ (tổng) / HQLA phải đáp ứng</t>
        </is>
      </c>
      <c r="E15" s="31" t="n">
        <v>0.5</v>
      </c>
      <c r="F15" s="14" t="inlineStr">
        <is>
          <t>PL1.A.I.5</t>
        </is>
      </c>
      <c r="G15" s="14" t="n">
        <v>1187</v>
      </c>
      <c r="H15" s="14" t="inlineStr">
        <is>
          <t>[[src-tt50-2026-nhnn#^pl1-a1-4]]</t>
        </is>
      </c>
      <c r="I15" s="14" t="inlineStr">
        <is>
          <t>Chỉ áp dụng chi nhánh NHNNg</t>
        </is>
      </c>
      <c r="J15" s="32" t="n"/>
    </row>
    <row r="16">
      <c r="A16" s="14" t="inlineStr">
        <is>
          <t>HM_NOBACK</t>
        </is>
      </c>
      <c r="B16" s="14" t="inlineStr">
        <is>
          <t>HQLA</t>
        </is>
      </c>
      <c r="C16" s="14" t="inlineStr">
        <is>
          <t>Bảng 3: 5.2.2</t>
        </is>
      </c>
      <c r="D16" s="14" t="inlineStr">
        <is>
          <t>Trần hạn mức không đối ứng HQLA cấp 1 / HQLA phải đáp ứng</t>
        </is>
      </c>
      <c r="E16" s="31" t="n">
        <v>0.4</v>
      </c>
      <c r="F16" s="14" t="inlineStr">
        <is>
          <t>PL1.A.I.5.b</t>
        </is>
      </c>
      <c r="G16" s="14" t="n">
        <v>1199</v>
      </c>
      <c r="H16" s="14" t="inlineStr">
        <is>
          <t>[[src-tt50-2026-nhnn#^pl1-a1-4]]</t>
        </is>
      </c>
      <c r="I16" s="14" t="inlineStr">
        <is>
          <t>Chỉ áp dụng chi nhánh NHNNg</t>
        </is>
      </c>
      <c r="J16" s="32" t="n"/>
    </row>
    <row r="17">
      <c r="A17" s="14" t="inlineStr">
        <is>
          <t>O_RET_S</t>
        </is>
      </c>
      <c r="B17" s="14" t="inlineStr">
        <is>
          <t>Dòng ra</t>
        </is>
      </c>
      <c r="C17" s="14" t="inlineStr">
        <is>
          <t>Bảng 6: 1.1</t>
        </is>
      </c>
      <c r="D17" s="14" t="inlineStr">
        <is>
          <t>Tiền gửi bán lẻ ổn định</t>
        </is>
      </c>
      <c r="E17" s="31" t="n">
        <v>0.05</v>
      </c>
      <c r="F17" s="14" t="inlineStr">
        <is>
          <t>PL1.B.II.2.2</t>
        </is>
      </c>
      <c r="G17" s="14" t="n">
        <v>1460</v>
      </c>
      <c r="H17" s="14" t="inlineStr">
        <is>
          <t>[[src-tt50-2026-nhnn#^pl1-b2]]</t>
        </is>
      </c>
      <c r="I17" s="14" t="inlineStr"/>
      <c r="J17" s="32" t="n"/>
    </row>
    <row r="18">
      <c r="A18" s="14" t="inlineStr">
        <is>
          <t>O_RET_L</t>
        </is>
      </c>
      <c r="B18" s="14" t="inlineStr">
        <is>
          <t>Dòng ra</t>
        </is>
      </c>
      <c r="C18" s="14" t="inlineStr">
        <is>
          <t>Bảng 6: 1.2</t>
        </is>
      </c>
      <c r="D18" s="14" t="inlineStr">
        <is>
          <t>Tiền gửi bán lẻ kém ổn định</t>
        </is>
      </c>
      <c r="E18" s="31" t="n">
        <v>0.1</v>
      </c>
      <c r="F18" s="14" t="inlineStr">
        <is>
          <t>PL1.B.II.3.2</t>
        </is>
      </c>
      <c r="G18" s="14" t="n">
        <v>1466</v>
      </c>
      <c r="H18" s="14" t="inlineStr">
        <is>
          <t>[[src-tt50-2026-nhnn#^pl1-b2]]</t>
        </is>
      </c>
      <c r="I18" s="14" t="inlineStr">
        <is>
          <t>Gồm tiền gửi ngoại tệ và phần vượt hạn mức BHTG</t>
        </is>
      </c>
      <c r="J18" s="32" t="n"/>
    </row>
    <row r="19">
      <c r="A19" s="14" t="inlineStr">
        <is>
          <t>O_SME_S</t>
        </is>
      </c>
      <c r="B19" s="14" t="inlineStr">
        <is>
          <t>Dòng ra</t>
        </is>
      </c>
      <c r="C19" s="14" t="inlineStr">
        <is>
          <t>Bảng 6: 2.1.1</t>
        </is>
      </c>
      <c r="D19" s="14" t="inlineStr">
        <is>
          <t>Tiền gửi DNNVV đủ điều kiện — ổn định</t>
        </is>
      </c>
      <c r="E19" s="31" t="n">
        <v>0.05</v>
      </c>
      <c r="F19" s="14" t="inlineStr">
        <is>
          <t>PL1.B.III.2.2.a(iii)</t>
        </is>
      </c>
      <c r="G19" s="14" t="n">
        <v>1502</v>
      </c>
      <c r="H19" s="14" t="inlineStr">
        <is>
          <t>[[src-tt50-2026-nhnn#^pl1-b3]]</t>
        </is>
      </c>
      <c r="I19" s="14" t="inlineStr">
        <is>
          <t>Như tiền gửi bán lẻ ổn định</t>
        </is>
      </c>
      <c r="J19" s="32" t="n"/>
    </row>
    <row r="20">
      <c r="A20" s="14" t="inlineStr">
        <is>
          <t>O_SME_L</t>
        </is>
      </c>
      <c r="B20" s="14" t="inlineStr">
        <is>
          <t>Dòng ra</t>
        </is>
      </c>
      <c r="C20" s="14" t="inlineStr">
        <is>
          <t>Bảng 6: 2.1.2</t>
        </is>
      </c>
      <c r="D20" s="14" t="inlineStr">
        <is>
          <t>Tiền gửi DNNVV đủ điều kiện — kém ổn định</t>
        </is>
      </c>
      <c r="E20" s="31" t="n">
        <v>0.1</v>
      </c>
      <c r="F20" s="14" t="inlineStr">
        <is>
          <t>PL1.B.III.2.2.a(iii)</t>
        </is>
      </c>
      <c r="G20" s="14" t="n">
        <v>1502</v>
      </c>
      <c r="H20" s="14" t="inlineStr">
        <is>
          <t>[[src-tt50-2026-nhnn#^pl1-b3]]</t>
        </is>
      </c>
      <c r="I20" s="14" t="inlineStr">
        <is>
          <t>Như tiền gửi bán lẻ kém ổn định</t>
        </is>
      </c>
      <c r="J20" s="32" t="n"/>
    </row>
    <row r="21">
      <c r="A21" s="14" t="inlineStr">
        <is>
          <t>O_OPD</t>
        </is>
      </c>
      <c r="B21" s="14" t="inlineStr">
        <is>
          <t>Dòng ra</t>
        </is>
      </c>
      <c r="C21" s="14" t="inlineStr">
        <is>
          <t>Bảng 6: 2.2</t>
        </is>
      </c>
      <c r="D21" s="14" t="inlineStr">
        <is>
          <t>Tiền gửi hoạt động</t>
        </is>
      </c>
      <c r="E21" s="31" t="n">
        <v>0.25</v>
      </c>
      <c r="F21" s="14" t="inlineStr">
        <is>
          <t>PL1.B.III.2.3.a(ii)</t>
        </is>
      </c>
      <c r="G21" s="14" t="n">
        <v>1526</v>
      </c>
      <c r="H21" s="14" t="inlineStr">
        <is>
          <t>[[src-tt50-2026-nhnn#^pl1-b3]]</t>
        </is>
      </c>
      <c r="I21" s="14" t="inlineStr">
        <is>
          <t>Chỉ phần không vượt mức yêu cầu; không xác định được phần vượt thì toàn bộ không đủ điều kiện (1592)</t>
        </is>
      </c>
      <c r="J21" s="32" t="n"/>
    </row>
    <row r="22">
      <c r="A22" s="14" t="inlineStr">
        <is>
          <t>O_CORP</t>
        </is>
      </c>
      <c r="B22" s="14" t="inlineStr">
        <is>
          <t>Dòng ra</t>
        </is>
      </c>
      <c r="C22" s="14" t="inlineStr">
        <is>
          <t>Bảng 6: 2.3</t>
        </is>
      </c>
      <c r="D22" s="14" t="inlineStr">
        <is>
          <t>Nguồn vốn từ DN, Chính phủ, NHTW, PSE, tổ chức tài chính quốc tế</t>
        </is>
      </c>
      <c r="E22" s="31" t="n">
        <v>0.4</v>
      </c>
      <c r="F22" s="14" t="inlineStr">
        <is>
          <t>PL1.B.III.2.4.b</t>
        </is>
      </c>
      <c r="G22" s="14" t="n">
        <v>1604</v>
      </c>
      <c r="H22" s="14" t="inlineStr">
        <is>
          <t>[[src-tt50-2026-nhnn#^pl1-b3]]</t>
        </is>
      </c>
      <c r="I22" s="14" t="inlineStr"/>
      <c r="J22" s="32" t="n"/>
    </row>
    <row r="23">
      <c r="A23" s="14" t="inlineStr">
        <is>
          <t>O_UNS_OTH</t>
        </is>
      </c>
      <c r="B23" s="14" t="inlineStr">
        <is>
          <t>Dòng ra</t>
        </is>
      </c>
      <c r="C23" s="14" t="inlineStr">
        <is>
          <t>Bảng 6: 2.4</t>
        </is>
      </c>
      <c r="D23" s="14" t="inlineStr">
        <is>
          <t>Nguồn vốn không có bảo đảm khác</t>
        </is>
      </c>
      <c r="E23" s="31" t="n">
        <v>1</v>
      </c>
      <c r="F23" s="14" t="inlineStr">
        <is>
          <t>PL1.B.III.2.5.b</t>
        </is>
      </c>
      <c r="G23" s="14" t="n">
        <v>1610</v>
      </c>
      <c r="H23" s="14" t="inlineStr">
        <is>
          <t>[[src-tt50-2026-nhnn#^pl1-b3]]</t>
        </is>
      </c>
      <c r="I23" s="14" t="inlineStr"/>
      <c r="J23" s="32" t="n"/>
    </row>
    <row r="24">
      <c r="A24" s="14" t="inlineStr">
        <is>
          <t>O_SEC_L1</t>
        </is>
      </c>
      <c r="B24" s="14" t="inlineStr">
        <is>
          <t>Dòng ra</t>
        </is>
      </c>
      <c r="C24" s="14" t="inlineStr">
        <is>
          <t>Bảng 6: 3.1</t>
        </is>
      </c>
      <c r="D24" s="14" t="inlineStr">
        <is>
          <t>Có bảo đảm bằng HQLA cấp 1 / giao dịch với NHNN</t>
        </is>
      </c>
      <c r="E24" s="31" t="n">
        <v>0</v>
      </c>
      <c r="F24" s="14" t="inlineStr">
        <is>
          <t>PL1.B.III.3.2.2.a</t>
        </is>
      </c>
      <c r="G24" s="14" t="n">
        <v>1636</v>
      </c>
      <c r="H24" s="14" t="inlineStr">
        <is>
          <t>[[src-tt50-2026-nhnn#^pl1-b3-3]]</t>
        </is>
      </c>
      <c r="I24" s="14" t="inlineStr"/>
      <c r="J24" s="32" t="n"/>
    </row>
    <row r="25">
      <c r="A25" s="14" t="inlineStr">
        <is>
          <t>O_SEC_L2A</t>
        </is>
      </c>
      <c r="B25" s="14" t="inlineStr">
        <is>
          <t>Dòng ra</t>
        </is>
      </c>
      <c r="C25" s="14" t="inlineStr">
        <is>
          <t>Bảng 6: 3.2</t>
        </is>
      </c>
      <c r="D25" s="14" t="inlineStr">
        <is>
          <t>Có bảo đảm bằng HQLA cấp 2A</t>
        </is>
      </c>
      <c r="E25" s="31" t="n">
        <v>0.15</v>
      </c>
      <c r="F25" s="14" t="inlineStr">
        <is>
          <t>PL1.B.III.3.2.2.b</t>
        </is>
      </c>
      <c r="G25" s="14" t="n">
        <v>1637</v>
      </c>
      <c r="H25" s="14" t="inlineStr">
        <is>
          <t>[[src-tt50-2026-nhnn#^pl1-b3-3]]</t>
        </is>
      </c>
      <c r="I25" s="14" t="inlineStr"/>
      <c r="J25" s="32" t="n"/>
    </row>
    <row r="26">
      <c r="A26" s="14" t="inlineStr">
        <is>
          <t>O_SEC_GOV</t>
        </is>
      </c>
      <c r="B26" s="14" t="inlineStr">
        <is>
          <t>Dòng ra</t>
        </is>
      </c>
      <c r="C26" s="14" t="inlineStr">
        <is>
          <t>Bảng 6: 3.3</t>
        </is>
      </c>
      <c r="D26" s="14" t="inlineStr">
        <is>
          <t>Có bảo đảm bằng tài sản khác, đối tác Chính phủ/KBNN/UBND/NHCS/VAMC/DATC/BHTG/BHXH/TCTC quốc tế</t>
        </is>
      </c>
      <c r="E26" s="31" t="n">
        <v>0.25</v>
      </c>
      <c r="F26" s="14" t="inlineStr">
        <is>
          <t>PL1.B.III.3.2.2.c</t>
        </is>
      </c>
      <c r="G26" s="14" t="n">
        <v>1638</v>
      </c>
      <c r="H26" s="14" t="inlineStr">
        <is>
          <t>[[src-tt50-2026-nhnn#^pl1-b3-3]]</t>
        </is>
      </c>
      <c r="I26" s="14" t="inlineStr"/>
      <c r="J26" s="32" t="n"/>
    </row>
    <row r="27">
      <c r="A27" s="14" t="inlineStr">
        <is>
          <t>O_SEC_RMBS</t>
        </is>
      </c>
      <c r="B27" s="14" t="inlineStr">
        <is>
          <t>Dòng ra</t>
        </is>
      </c>
      <c r="C27" s="14" t="inlineStr">
        <is>
          <t>Bảng 6: 3.4</t>
        </is>
      </c>
      <c r="D27" s="14" t="inlineStr">
        <is>
          <t>Có bảo đảm bằng RMBS cấp 2B</t>
        </is>
      </c>
      <c r="E27" s="31" t="n">
        <v>0.25</v>
      </c>
      <c r="F27" s="14" t="inlineStr">
        <is>
          <t>PL1.B.III.3.2.2.d</t>
        </is>
      </c>
      <c r="G27" s="14" t="n">
        <v>1639</v>
      </c>
      <c r="H27" s="14" t="inlineStr">
        <is>
          <t>[[src-tt50-2026-nhnn#^pl1-b3-3]]</t>
        </is>
      </c>
      <c r="I27" s="14" t="inlineStr"/>
      <c r="J27" s="32" t="n"/>
    </row>
    <row r="28">
      <c r="A28" s="14" t="inlineStr">
        <is>
          <t>O_SEC_2B</t>
        </is>
      </c>
      <c r="B28" s="14" t="inlineStr">
        <is>
          <t>Dòng ra</t>
        </is>
      </c>
      <c r="C28" s="14" t="inlineStr">
        <is>
          <t>Bảng 6: 3.5</t>
        </is>
      </c>
      <c r="D28" s="14" t="inlineStr">
        <is>
          <t>Có bảo đảm bằng HQLA cấp 2B khác</t>
        </is>
      </c>
      <c r="E28" s="31" t="n">
        <v>0.5</v>
      </c>
      <c r="F28" s="14" t="inlineStr">
        <is>
          <t>PL1.B.III.3.2.2.đ</t>
        </is>
      </c>
      <c r="G28" s="14" t="n">
        <v>1640</v>
      </c>
      <c r="H28" s="14" t="inlineStr">
        <is>
          <t>[[src-tt50-2026-nhnn#^pl1-b3-3]]</t>
        </is>
      </c>
      <c r="I28" s="14" t="inlineStr"/>
      <c r="J28" s="32" t="n"/>
    </row>
    <row r="29">
      <c r="A29" s="14" t="inlineStr">
        <is>
          <t>O_SEC_OTH</t>
        </is>
      </c>
      <c r="B29" s="14" t="inlineStr">
        <is>
          <t>Dòng ra</t>
        </is>
      </c>
      <c r="C29" s="14" t="inlineStr">
        <is>
          <t>Bảng 6: 3.6</t>
        </is>
      </c>
      <c r="D29" s="14" t="inlineStr">
        <is>
          <t>Có bảo đảm bằng tài sản tài chính khác</t>
        </is>
      </c>
      <c r="E29" s="31" t="n">
        <v>1</v>
      </c>
      <c r="F29" s="14" t="inlineStr">
        <is>
          <t>PL1.B.III.3.2.2.e</t>
        </is>
      </c>
      <c r="G29" s="14" t="n">
        <v>1641</v>
      </c>
      <c r="H29" s="14" t="inlineStr">
        <is>
          <t>[[src-tt50-2026-nhnn#^pl1-b3-3]]</t>
        </is>
      </c>
      <c r="I29" s="14" t="inlineStr"/>
      <c r="J29" s="32" t="n"/>
    </row>
    <row r="30">
      <c r="A30" s="14" t="inlineStr">
        <is>
          <t>O_COLVAL</t>
        </is>
      </c>
      <c r="B30" s="14" t="inlineStr">
        <is>
          <t>Dòng ra</t>
        </is>
      </c>
      <c r="C30" s="14" t="inlineStr">
        <is>
          <t>Bảng 6: 4.1</t>
        </is>
      </c>
      <c r="D30" s="14" t="inlineStr">
        <is>
          <t>Khả năng thay đổi giá trị tài sản bảo đảm (không phải HQLA cấp 1)</t>
        </is>
      </c>
      <c r="E30" s="31" t="n">
        <v>0.2</v>
      </c>
      <c r="F30" s="14" t="inlineStr">
        <is>
          <t>PL1.B.IV.2.2.b</t>
        </is>
      </c>
      <c r="G30" s="14" t="n">
        <v>1685</v>
      </c>
      <c r="H30" s="14" t="inlineStr">
        <is>
          <t>[[src-tt50-2026-nhnn#^pl1-b4]]</t>
        </is>
      </c>
      <c r="I30" s="14" t="inlineStr">
        <is>
          <t>Giá trị TSBĐ = danh nghĩa × hệ số thanh khoản (cấp 2 theo Mục III/IV; tài sản khác 25%)</t>
        </is>
      </c>
      <c r="J30" s="32" t="n"/>
    </row>
    <row r="31">
      <c r="A31" s="14" t="inlineStr">
        <is>
          <t>O_DOWNGR</t>
        </is>
      </c>
      <c r="B31" s="14" t="inlineStr">
        <is>
          <t>Dòng ra</t>
        </is>
      </c>
      <c r="C31" s="14" t="inlineStr">
        <is>
          <t>Bảng 6: 4.2</t>
        </is>
      </c>
      <c r="D31" s="14" t="inlineStr">
        <is>
          <t>Hạ bậc tín nhiệm tối đa 3 bậc</t>
        </is>
      </c>
      <c r="E31" s="31" t="n">
        <v>1</v>
      </c>
      <c r="F31" s="14" t="inlineStr">
        <is>
          <t>PL1.B.IV.2.1.b</t>
        </is>
      </c>
      <c r="G31" s="14" t="n">
        <v>1679</v>
      </c>
      <c r="H31" s="14" t="inlineStr">
        <is>
          <t>[[src-tt50-2026-nhnn#^pl1-b4]]</t>
        </is>
      </c>
      <c r="I31" s="14" t="inlineStr"/>
      <c r="J31" s="32" t="n"/>
    </row>
    <row r="32">
      <c r="A32" s="14" t="inlineStr">
        <is>
          <t>O_EXCOL</t>
        </is>
      </c>
      <c r="B32" s="14" t="inlineStr">
        <is>
          <t>Dòng ra</t>
        </is>
      </c>
      <c r="C32" s="14" t="inlineStr">
        <is>
          <t>Bảng 6: 4.3</t>
        </is>
      </c>
      <c r="D32" s="14" t="inlineStr">
        <is>
          <t>TSBĐ dư thừa không tách biệt, đối tác có quyền thu hồi</t>
        </is>
      </c>
      <c r="E32" s="31" t="n">
        <v>1</v>
      </c>
      <c r="F32" s="14" t="inlineStr">
        <is>
          <t>PL1.B.IV.2.3.b</t>
        </is>
      </c>
      <c r="G32" s="14" t="n">
        <v>1701</v>
      </c>
      <c r="H32" s="14" t="inlineStr">
        <is>
          <t>chưa có claim trong source note</t>
        </is>
      </c>
      <c r="I32" s="14" t="inlineStr"/>
      <c r="J32" s="32" t="n"/>
    </row>
    <row r="33">
      <c r="A33" s="14" t="inlineStr">
        <is>
          <t>O_UNCALL</t>
        </is>
      </c>
      <c r="B33" s="14" t="inlineStr">
        <is>
          <t>Dòng ra</t>
        </is>
      </c>
      <c r="C33" s="14" t="inlineStr">
        <is>
          <t>Bảng 6: 4.4</t>
        </is>
      </c>
      <c r="D33" s="14" t="inlineStr">
        <is>
          <t>TSBĐ phải ký quỹ nhưng đối tác chưa yêu cầu</t>
        </is>
      </c>
      <c r="E33" s="31" t="n">
        <v>1</v>
      </c>
      <c r="F33" s="14" t="inlineStr">
        <is>
          <t>PL1.B.IV.2.4</t>
        </is>
      </c>
      <c r="G33" s="14" t="n">
        <v>1705</v>
      </c>
      <c r="H33" s="14" t="inlineStr">
        <is>
          <t>chưa có claim trong source note</t>
        </is>
      </c>
      <c r="I33" s="14" t="inlineStr"/>
      <c r="J33" s="32" t="n"/>
    </row>
    <row r="34">
      <c r="A34" s="14" t="inlineStr">
        <is>
          <t>O_MTM</t>
        </is>
      </c>
      <c r="B34" s="14" t="inlineStr">
        <is>
          <t>Dòng ra</t>
        </is>
      </c>
      <c r="C34" s="14" t="inlineStr">
        <is>
          <t>Bảng 6: 4.5</t>
        </is>
      </c>
      <c r="D34" s="14" t="inlineStr">
        <is>
          <t>Thay đổi định giá thị trường (dòng ký quỹ ròng lớn nhất 30 ngày trong 24 tháng)</t>
        </is>
      </c>
      <c r="E34" s="31" t="n">
        <v>1</v>
      </c>
      <c r="F34" s="14" t="inlineStr">
        <is>
          <t>PL1.B.IV.2.5.b</t>
        </is>
      </c>
      <c r="G34" s="14" t="n">
        <v>1721</v>
      </c>
      <c r="H34" s="14" t="inlineStr">
        <is>
          <t>[[src-tt50-2026-nhnn#^pl1-b4]]</t>
        </is>
      </c>
      <c r="I34" s="14" t="inlineStr"/>
      <c r="J34" s="32" t="n"/>
    </row>
    <row r="35">
      <c r="A35" s="14" t="inlineStr">
        <is>
          <t>O_F_RET</t>
        </is>
      </c>
      <c r="B35" s="14" t="inlineStr">
        <is>
          <t>Dòng ra</t>
        </is>
      </c>
      <c r="C35" s="14" t="inlineStr">
        <is>
          <t>Bảng 6: 5.1.1</t>
        </is>
      </c>
      <c r="D35" s="14" t="inlineStr">
        <is>
          <t>Hạn mức chưa sử dụng — cá nhân, DNNVV (tín dụng và thanh khoản)</t>
        </is>
      </c>
      <c r="E35" s="31" t="n">
        <v>0.05</v>
      </c>
      <c r="F35" s="14" t="inlineStr">
        <is>
          <t>PL1.B.V.1.5.a</t>
        </is>
      </c>
      <c r="G35" s="14" t="n">
        <v>1748</v>
      </c>
      <c r="H35" s="14" t="inlineStr">
        <is>
          <t>[[src-tt50-2026-nhnn#^pl1-b5]]</t>
        </is>
      </c>
      <c r="I35" s="14" t="inlineStr"/>
      <c r="J35" s="32" t="n"/>
    </row>
    <row r="36">
      <c r="A36" s="14" t="inlineStr">
        <is>
          <t>O_F_CORP_C</t>
        </is>
      </c>
      <c r="B36" s="14" t="inlineStr">
        <is>
          <t>Dòng ra</t>
        </is>
      </c>
      <c r="C36" s="14" t="inlineStr">
        <is>
          <t>Bảng 6: 5.1.2</t>
        </is>
      </c>
      <c r="D36" s="14" t="inlineStr">
        <is>
          <t>Hạn mức tín dụng — DN không phải TCTC</t>
        </is>
      </c>
      <c r="E36" s="31" t="n">
        <v>0.1</v>
      </c>
      <c r="F36" s="14" t="inlineStr">
        <is>
          <t>PL1.B.V.1.5.b</t>
        </is>
      </c>
      <c r="G36" s="14" t="n">
        <v>1749</v>
      </c>
      <c r="H36" s="14" t="inlineStr">
        <is>
          <t>[[src-tt50-2026-nhnn#^pl1-b5]]</t>
        </is>
      </c>
      <c r="I36" s="14" t="inlineStr"/>
      <c r="J36" s="32" t="n"/>
    </row>
    <row r="37">
      <c r="A37" s="14" t="inlineStr">
        <is>
          <t>O_F_CORP_L</t>
        </is>
      </c>
      <c r="B37" s="14" t="inlineStr">
        <is>
          <t>Dòng ra</t>
        </is>
      </c>
      <c r="C37" s="14" t="inlineStr">
        <is>
          <t>Bảng 6: 5.1.2</t>
        </is>
      </c>
      <c r="D37" s="14" t="inlineStr">
        <is>
          <t>Hạn mức thanh khoản — DN không phải TCTC</t>
        </is>
      </c>
      <c r="E37" s="31" t="n">
        <v>0.3</v>
      </c>
      <c r="F37" s="14" t="inlineStr">
        <is>
          <t>PL1.B.V.1.5.b</t>
        </is>
      </c>
      <c r="G37" s="14" t="n">
        <v>1749</v>
      </c>
      <c r="H37" s="14" t="inlineStr">
        <is>
          <t>[[src-tt50-2026-nhnn#^pl1-b5]]</t>
        </is>
      </c>
      <c r="I37" s="14" t="inlineStr"/>
      <c r="J37" s="32" t="n"/>
    </row>
    <row r="38">
      <c r="A38" s="14" t="inlineStr">
        <is>
          <t>O_F_GOV_C</t>
        </is>
      </c>
      <c r="B38" s="14" t="inlineStr">
        <is>
          <t>Dòng ra</t>
        </is>
      </c>
      <c r="C38" s="14" t="inlineStr">
        <is>
          <t>Bảng 6: 5.1.3</t>
        </is>
      </c>
      <c r="D38" s="14" t="inlineStr">
        <is>
          <t>Hạn mức tín dụng — Chính phủ, NHTW, PSE, KBNN, UBND, BHTG, TCTC quốc tế</t>
        </is>
      </c>
      <c r="E38" s="31" t="n">
        <v>0.1</v>
      </c>
      <c r="F38" s="14" t="inlineStr">
        <is>
          <t>PL1.B.V.1.5.c</t>
        </is>
      </c>
      <c r="G38" s="14" t="n">
        <v>1750</v>
      </c>
      <c r="H38" s="14" t="inlineStr">
        <is>
          <t>[[src-tt50-2026-nhnn#^pl1-b5]]</t>
        </is>
      </c>
      <c r="I38" s="14" t="inlineStr">
        <is>
          <t>Biểu mẫu Bảng 6 để trống ô hệ số; lấy theo Bảng 5 điểm c</t>
        </is>
      </c>
      <c r="J38" s="32" t="n"/>
    </row>
    <row r="39">
      <c r="A39" s="14" t="inlineStr">
        <is>
          <t>O_F_GOV_L</t>
        </is>
      </c>
      <c r="B39" s="14" t="inlineStr">
        <is>
          <t>Dòng ra</t>
        </is>
      </c>
      <c r="C39" s="14" t="inlineStr">
        <is>
          <t>Bảng 6: 5.1.3</t>
        </is>
      </c>
      <c r="D39" s="14" t="inlineStr">
        <is>
          <t>Hạn mức thanh khoản — Chính phủ, NHTW, PSE, KBNN, UBND, BHTG, TCTC quốc tế</t>
        </is>
      </c>
      <c r="E39" s="31" t="n">
        <v>0.3</v>
      </c>
      <c r="F39" s="14" t="inlineStr">
        <is>
          <t>PL1.B.V.1.5.c</t>
        </is>
      </c>
      <c r="G39" s="14" t="n">
        <v>1750</v>
      </c>
      <c r="H39" s="14" t="inlineStr">
        <is>
          <t>[[src-tt50-2026-nhnn#^pl1-b5]]</t>
        </is>
      </c>
      <c r="I39" s="14" t="inlineStr">
        <is>
          <t>Như trên</t>
        </is>
      </c>
      <c r="J39" s="32" t="n"/>
    </row>
    <row r="40">
      <c r="A40" s="14" t="inlineStr">
        <is>
          <t>O_F_CI</t>
        </is>
      </c>
      <c r="B40" s="14" t="inlineStr">
        <is>
          <t>Dòng ra</t>
        </is>
      </c>
      <c r="C40" s="14" t="inlineStr">
        <is>
          <t>Bảng 6: 5.1.4</t>
        </is>
      </c>
      <c r="D40" s="14" t="inlineStr">
        <is>
          <t>Hạn mức chưa sử dụng — TCTD, chi nhánh NHNNg</t>
        </is>
      </c>
      <c r="E40" s="31" t="n">
        <v>0.4</v>
      </c>
      <c r="F40" s="14" t="inlineStr">
        <is>
          <t>PL1.B.V.1.5.d</t>
        </is>
      </c>
      <c r="G40" s="14" t="n">
        <v>1751</v>
      </c>
      <c r="H40" s="14" t="inlineStr">
        <is>
          <t>[[src-tt50-2026-nhnn#^pl1-b5]]</t>
        </is>
      </c>
      <c r="I40" s="14" t="inlineStr"/>
      <c r="J40" s="32" t="n"/>
    </row>
    <row r="41">
      <c r="A41" s="14" t="inlineStr">
        <is>
          <t>O_F_FI_C</t>
        </is>
      </c>
      <c r="B41" s="14" t="inlineStr">
        <is>
          <t>Dòng ra</t>
        </is>
      </c>
      <c r="C41" s="14" t="inlineStr">
        <is>
          <t>Bảng 6: 5.1.5</t>
        </is>
      </c>
      <c r="D41" s="14" t="inlineStr">
        <is>
          <t>Hạn mức tín dụng — tổ chức tài chính khác</t>
        </is>
      </c>
      <c r="E41" s="31" t="n">
        <v>0.4</v>
      </c>
      <c r="F41" s="14" t="inlineStr">
        <is>
          <t>PL1.B.V.1.5.đ</t>
        </is>
      </c>
      <c r="G41" s="14" t="n">
        <v>1752</v>
      </c>
      <c r="H41" s="14" t="inlineStr">
        <is>
          <t>[[src-tt50-2026-nhnn#^pl1-b5]]</t>
        </is>
      </c>
      <c r="I41" s="14" t="inlineStr"/>
      <c r="J41" s="32" t="n"/>
    </row>
    <row r="42">
      <c r="A42" s="14" t="inlineStr">
        <is>
          <t>O_F_FI_L</t>
        </is>
      </c>
      <c r="B42" s="14" t="inlineStr">
        <is>
          <t>Dòng ra</t>
        </is>
      </c>
      <c r="C42" s="14" t="inlineStr">
        <is>
          <t>Bảng 6: 5.1.5</t>
        </is>
      </c>
      <c r="D42" s="14" t="inlineStr">
        <is>
          <t>Hạn mức thanh khoản — tổ chức tài chính khác</t>
        </is>
      </c>
      <c r="E42" s="31" t="n">
        <v>1</v>
      </c>
      <c r="F42" s="14" t="inlineStr">
        <is>
          <t>PL1.B.V.1.5.đ</t>
        </is>
      </c>
      <c r="G42" s="14" t="n">
        <v>1752</v>
      </c>
      <c r="H42" s="14" t="inlineStr">
        <is>
          <t>[[src-tt50-2026-nhnn#^pl1-b5]]</t>
        </is>
      </c>
      <c r="I42" s="14" t="inlineStr"/>
      <c r="J42" s="32" t="n"/>
    </row>
    <row r="43">
      <c r="A43" s="14" t="inlineStr">
        <is>
          <t>O_F_OTH</t>
        </is>
      </c>
      <c r="B43" s="14" t="inlineStr">
        <is>
          <t>Dòng ra</t>
        </is>
      </c>
      <c r="C43" s="14" t="inlineStr">
        <is>
          <t>Bảng 6: 5.1.6</t>
        </is>
      </c>
      <c r="D43" s="14" t="inlineStr">
        <is>
          <t>Hạn mức chưa sử dụng — đối tượng khác</t>
        </is>
      </c>
      <c r="E43" s="31" t="n">
        <v>1</v>
      </c>
      <c r="F43" s="14" t="inlineStr">
        <is>
          <t>PL1.B.V.1.5.e</t>
        </is>
      </c>
      <c r="G43" s="14" t="n">
        <v>1753</v>
      </c>
      <c r="H43" s="14" t="inlineStr">
        <is>
          <t>[[src-tt50-2026-nhnn#^pl1-b5]]</t>
        </is>
      </c>
      <c r="I43" s="14" t="inlineStr"/>
      <c r="J43" s="32" t="n"/>
    </row>
    <row r="44">
      <c r="A44" s="14" t="inlineStr">
        <is>
          <t>O_DISB_FI</t>
        </is>
      </c>
      <c r="B44" s="14" t="inlineStr">
        <is>
          <t>Dòng ra</t>
        </is>
      </c>
      <c r="C44" s="14" t="inlineStr">
        <is>
          <t>Bảng 6: 5.2.1</t>
        </is>
      </c>
      <c r="D44" s="14" t="inlineStr">
        <is>
          <t>Nghĩa vụ giải ngân/thanh toán trong 30 ngày cho tổ chức tài chính (gồm NHNN)</t>
        </is>
      </c>
      <c r="E44" s="31" t="n">
        <v>1</v>
      </c>
      <c r="F44" s="14" t="inlineStr">
        <is>
          <t>PL1.B.V.2.1</t>
        </is>
      </c>
      <c r="G44" s="14" t="n">
        <v>1759</v>
      </c>
      <c r="H44" s="14" t="inlineStr">
        <is>
          <t>[[src-tt50-2026-nhnn#^pl1-b5]]</t>
        </is>
      </c>
      <c r="I44" s="14" t="inlineStr"/>
      <c r="J44" s="32" t="n"/>
    </row>
    <row r="45">
      <c r="A45" s="14" t="inlineStr">
        <is>
          <t>O_DISB_OTH</t>
        </is>
      </c>
      <c r="B45" s="14" t="inlineStr">
        <is>
          <t>Dòng ra</t>
        </is>
      </c>
      <c r="C45" s="14" t="inlineStr">
        <is>
          <t>Bảng 6: 5.2.2</t>
        </is>
      </c>
      <c r="D45" s="14" t="inlineStr">
        <is>
          <t>Nghĩa vụ giải ngân/thanh toán trong 30 ngày cho cá nhân, tổ chức khác</t>
        </is>
      </c>
      <c r="E45" s="31" t="n">
        <v>1</v>
      </c>
      <c r="F45" s="14" t="inlineStr">
        <is>
          <t>PL1.B.V.2.2</t>
        </is>
      </c>
      <c r="G45" s="14" t="n">
        <v>1761</v>
      </c>
      <c r="H45" s="14" t="inlineStr">
        <is>
          <t>chưa có claim trong source note</t>
        </is>
      </c>
      <c r="I45" s="14" t="inlineStr">
        <is>
          <t>Chỉ tính phần vượt ngưỡng O_DISB_THR × dòng vào cùng nhóm</t>
        </is>
      </c>
      <c r="J45" s="32" t="n"/>
    </row>
    <row r="46">
      <c r="A46" s="14" t="inlineStr">
        <is>
          <t>O_DISB_THR</t>
        </is>
      </c>
      <c r="B46" s="14" t="inlineStr">
        <is>
          <t>Dòng ra</t>
        </is>
      </c>
      <c r="C46" s="14" t="inlineStr">
        <is>
          <t>Bảng 6: 5.2.2</t>
        </is>
      </c>
      <c r="D46" s="14" t="inlineStr">
        <is>
          <t>Ngưỡng: % dòng tiền vào 30 ngày từ cùng nhóm khách hàng</t>
        </is>
      </c>
      <c r="E46" s="33" t="n">
        <v>0.5</v>
      </c>
      <c r="F46" s="14" t="inlineStr">
        <is>
          <t>PL1.B.V.2.2</t>
        </is>
      </c>
      <c r="G46" s="14" t="n">
        <v>1761</v>
      </c>
      <c r="H46" s="14" t="inlineStr">
        <is>
          <t>chưa có claim trong source note</t>
        </is>
      </c>
      <c r="I46" s="14" t="inlineStr">
        <is>
          <t>Diễn giải: dòng vào lấy theo số dư hợp đồng trước hệ số thu tiền — CẦN USER DUYỆT</t>
        </is>
      </c>
      <c r="J46" s="32" t="n"/>
    </row>
    <row r="47">
      <c r="A47" s="14" t="inlineStr">
        <is>
          <t>O_CONT_0</t>
        </is>
      </c>
      <c r="B47" s="14" t="inlineStr">
        <is>
          <t>Dòng ra</t>
        </is>
      </c>
      <c r="C47" s="14" t="inlineStr">
        <is>
          <t>Bảng 6: 5.3.1</t>
        </is>
      </c>
      <c r="D47" s="14" t="inlineStr">
        <is>
          <t>Nghĩa vụ tiềm ẩn: hạn mức huỷ ngang vô điều kiện; cam kết cung cấp cam kết ngoại bảng khác</t>
        </is>
      </c>
      <c r="E47" s="31" t="n">
        <v>0</v>
      </c>
      <c r="F47" s="14" t="inlineStr">
        <is>
          <t>PL1.B.V.3.2.a</t>
        </is>
      </c>
      <c r="G47" s="14" t="n">
        <v>1785</v>
      </c>
      <c r="H47" s="14" t="inlineStr">
        <is>
          <t>[[src-tt50-2026-nhnn#^pl1-b5-3]]</t>
        </is>
      </c>
      <c r="I47" s="14" t="inlineStr">
        <is>
          <t>Điểm a(i), a(iv) khoản 3.1</t>
        </is>
      </c>
      <c r="J47" s="32" t="n"/>
    </row>
    <row r="48">
      <c r="A48" s="14" t="inlineStr">
        <is>
          <t>O_CONT_3</t>
        </is>
      </c>
      <c r="B48" s="14" t="inlineStr">
        <is>
          <t>Dòng ra</t>
        </is>
      </c>
      <c r="C48" s="14" t="inlineStr">
        <is>
          <t>Bảng 6: 5.3.1</t>
        </is>
      </c>
      <c r="D48" s="14" t="inlineStr">
        <is>
          <t>Nghĩa vụ tiềm ẩn: công cụ tài trợ thương mại</t>
        </is>
      </c>
      <c r="E48" s="31" t="n">
        <v>0.03</v>
      </c>
      <c r="F48" s="14" t="inlineStr">
        <is>
          <t>PL1.B.V.3.2.b</t>
        </is>
      </c>
      <c r="G48" s="14" t="n">
        <v>1787</v>
      </c>
      <c r="H48" s="14" t="inlineStr">
        <is>
          <t>[[src-tt50-2026-nhnn#^pl1-b5-3]]</t>
        </is>
      </c>
      <c r="I48" s="14" t="inlineStr">
        <is>
          <t>Điểm a(ii) khoản 3.1</t>
        </is>
      </c>
      <c r="J48" s="32" t="n"/>
    </row>
    <row r="49">
      <c r="A49" s="14" t="inlineStr">
        <is>
          <t>O_CONT_5</t>
        </is>
      </c>
      <c r="B49" s="14" t="inlineStr">
        <is>
          <t>Dòng ra</t>
        </is>
      </c>
      <c r="C49" s="14" t="inlineStr">
        <is>
          <t>Bảng 6: 5.3.1</t>
        </is>
      </c>
      <c r="D49" s="14" t="inlineStr">
        <is>
          <t>Nghĩa vụ tiềm ẩn: bảo lãnh ngân hàng, dự thầu, thực hiện HĐ; autocallable</t>
        </is>
      </c>
      <c r="E49" s="31" t="n">
        <v>0.05</v>
      </c>
      <c r="F49" s="14" t="inlineStr">
        <is>
          <t>PL1.B.V.3.2.c</t>
        </is>
      </c>
      <c r="G49" s="14" t="n">
        <v>1789</v>
      </c>
      <c r="H49" s="14" t="inlineStr">
        <is>
          <t>[[src-tt50-2026-nhnn#^pl1-b5-3]]</t>
        </is>
      </c>
      <c r="I49" s="14" t="inlineStr">
        <is>
          <t>Điểm a(iii), a(v) khoản 3.1</t>
        </is>
      </c>
      <c r="J49" s="32" t="n"/>
    </row>
    <row r="50">
      <c r="A50" s="14" t="inlineStr">
        <is>
          <t>O_CONT_NC</t>
        </is>
      </c>
      <c r="B50" s="14" t="inlineStr">
        <is>
          <t>Dòng ra</t>
        </is>
      </c>
      <c r="C50" s="14" t="inlineStr">
        <is>
          <t>Bảng 6: 5.3.2</t>
        </is>
      </c>
      <c r="D50" s="14" t="inlineStr">
        <is>
          <t>Nghĩa vụ tiềm ẩn phi hợp đồng</t>
        </is>
      </c>
      <c r="E50" s="33" t="n">
        <v>1</v>
      </c>
      <c r="F50" s="14" t="inlineStr">
        <is>
          <t>PL1.B.V.3.2.d</t>
        </is>
      </c>
      <c r="G50" s="14" t="n">
        <v>1791</v>
      </c>
      <c r="H50" s="14" t="inlineStr">
        <is>
          <t>[[src-tt50-2026-nhnn#^pl1-b5-3]]</t>
        </is>
      </c>
      <c r="I50" s="14" t="inlineStr">
        <is>
          <t>NGÂN HÀNG TỰ XÁC ĐỊNH từ dữ liệu lịch sử. 100% là giá trị giữ chỗ.</t>
        </is>
      </c>
      <c r="J50" s="32" t="n"/>
    </row>
    <row r="51">
      <c r="A51" s="14" t="inlineStr">
        <is>
          <t>O_CONT_OTH</t>
        </is>
      </c>
      <c r="B51" s="14" t="inlineStr">
        <is>
          <t>Dòng ra</t>
        </is>
      </c>
      <c r="C51" s="14" t="inlineStr">
        <is>
          <t>Bảng 6: 5.3.3</t>
        </is>
      </c>
      <c r="D51" s="14" t="inlineStr">
        <is>
          <t>Cam kết ngoại bảng khác</t>
        </is>
      </c>
      <c r="E51" s="33" t="n">
        <v>1</v>
      </c>
      <c r="F51" s="14" t="inlineStr">
        <is>
          <t>PL1.B.V.3.2.d</t>
        </is>
      </c>
      <c r="G51" s="14" t="n">
        <v>1791</v>
      </c>
      <c r="H51" s="14" t="inlineStr">
        <is>
          <t>[[src-tt50-2026-nhnn#^pl1-b5-3]]</t>
        </is>
      </c>
      <c r="I51" s="14" t="inlineStr">
        <is>
          <t>NGÂN HÀNG TỰ XÁC ĐỊNH từ dữ liệu lịch sử. 100% là giá trị giữ chỗ.</t>
        </is>
      </c>
      <c r="J51" s="32" t="n"/>
    </row>
    <row r="52">
      <c r="A52" s="14" t="inlineStr">
        <is>
          <t>O_CONT_TRIG</t>
        </is>
      </c>
      <c r="B52" s="14" t="inlineStr">
        <is>
          <t>Dòng ra</t>
        </is>
      </c>
      <c r="C52" s="14" t="inlineStr">
        <is>
          <t>Bảng 6: 5.3.4</t>
        </is>
      </c>
      <c r="D52" s="14" t="inlineStr">
        <is>
          <t>Nghĩa vụ tiềm ẩn đã bị kích hoạt, phải thanh toán trong 30 ngày</t>
        </is>
      </c>
      <c r="E52" s="31" t="n">
        <v>1</v>
      </c>
      <c r="F52" s="14" t="inlineStr">
        <is>
          <t>PL1.B.V.3.3</t>
        </is>
      </c>
      <c r="G52" s="14" t="n">
        <v>1793</v>
      </c>
      <c r="H52" s="14" t="inlineStr">
        <is>
          <t>chưa có claim trong source note</t>
        </is>
      </c>
      <c r="I52" s="14" t="inlineStr"/>
      <c r="J52" s="32" t="n"/>
    </row>
    <row r="53">
      <c r="A53" s="14" t="inlineStr">
        <is>
          <t>O_DERIV</t>
        </is>
      </c>
      <c r="B53" s="14" t="inlineStr">
        <is>
          <t>Dòng ra</t>
        </is>
      </c>
      <c r="C53" s="14" t="inlineStr">
        <is>
          <t>Bảng 6: 6</t>
        </is>
      </c>
      <c r="D53" s="14" t="inlineStr">
        <is>
          <t>Dòng tiền ra ròng từ hợp đồng phái sinh</t>
        </is>
      </c>
      <c r="E53" s="31" t="n">
        <v>1</v>
      </c>
      <c r="F53" s="14" t="inlineStr">
        <is>
          <t>PL1.B.IV.1.2</t>
        </is>
      </c>
      <c r="G53" s="14" t="n">
        <v>1663</v>
      </c>
      <c r="H53" s="14" t="inlineStr">
        <is>
          <t>[[src-tt50-2026-nhnn#^pl1-b4]]</t>
        </is>
      </c>
      <c r="I53" s="14" t="inlineStr"/>
      <c r="J53" s="32" t="n"/>
    </row>
    <row r="54">
      <c r="A54" s="14" t="inlineStr">
        <is>
          <t>O_OTHER</t>
        </is>
      </c>
      <c r="B54" s="14" t="inlineStr">
        <is>
          <t>Dòng ra</t>
        </is>
      </c>
      <c r="C54" s="14" t="inlineStr">
        <is>
          <t>Bảng 6: 7</t>
        </is>
      </c>
      <c r="D54" s="14" t="inlineStr">
        <is>
          <t>Dòng tiền ra theo thỏa thuận khác</t>
        </is>
      </c>
      <c r="E54" s="31" t="n">
        <v>1</v>
      </c>
      <c r="F54" s="14" t="inlineStr">
        <is>
          <t>PL1.B.VI.2</t>
        </is>
      </c>
      <c r="G54" s="14" t="n">
        <v>1799</v>
      </c>
      <c r="H54" s="14" t="inlineStr">
        <is>
          <t>chưa có claim trong source note</t>
        </is>
      </c>
      <c r="I54" s="14" t="inlineStr"/>
      <c r="J54" s="32" t="n"/>
    </row>
    <row r="55">
      <c r="A55" s="14" t="inlineStr">
        <is>
          <t>I_RR_L1</t>
        </is>
      </c>
      <c r="B55" s="14" t="inlineStr">
        <is>
          <t>Dòng vào</t>
        </is>
      </c>
      <c r="C55" s="14" t="inlineStr">
        <is>
          <t>Bảng 8: 1.1</t>
        </is>
      </c>
      <c r="D55" s="14" t="inlineStr">
        <is>
          <t>Cấp tín dụng có bảo đảm/reverse repo — tài sản cấp 1</t>
        </is>
      </c>
      <c r="E55" s="31" t="n">
        <v>0</v>
      </c>
      <c r="F55" s="14" t="inlineStr">
        <is>
          <t>PL1.C.II.4.a</t>
        </is>
      </c>
      <c r="G55" s="14" t="n">
        <v>1900</v>
      </c>
      <c r="H55" s="14" t="inlineStr">
        <is>
          <t>[[src-tt50-2026-nhnn#^pl1-c2]]</t>
        </is>
      </c>
      <c r="I55" s="14" t="inlineStr"/>
      <c r="J55" s="32" t="n"/>
    </row>
    <row r="56">
      <c r="A56" s="14" t="inlineStr">
        <is>
          <t>I_RR_L2A</t>
        </is>
      </c>
      <c r="B56" s="14" t="inlineStr">
        <is>
          <t>Dòng vào</t>
        </is>
      </c>
      <c r="C56" s="14" t="inlineStr">
        <is>
          <t>Bảng 8: 1.2</t>
        </is>
      </c>
      <c r="D56" s="14" t="inlineStr">
        <is>
          <t>Cấp tín dụng có bảo đảm/reverse repo — tài sản cấp 2A</t>
        </is>
      </c>
      <c r="E56" s="31" t="n">
        <v>0.15</v>
      </c>
      <c r="F56" s="14" t="inlineStr">
        <is>
          <t>PL1.C.II.4.b</t>
        </is>
      </c>
      <c r="G56" s="14" t="n">
        <v>1901</v>
      </c>
      <c r="H56" s="14" t="inlineStr">
        <is>
          <t>[[src-tt50-2026-nhnn#^pl1-c2]]</t>
        </is>
      </c>
      <c r="I56" s="14" t="inlineStr"/>
      <c r="J56" s="32" t="n"/>
    </row>
    <row r="57">
      <c r="A57" s="14" t="inlineStr">
        <is>
          <t>I_RR_RMBS</t>
        </is>
      </c>
      <c r="B57" s="14" t="inlineStr">
        <is>
          <t>Dòng vào</t>
        </is>
      </c>
      <c r="C57" s="14" t="inlineStr">
        <is>
          <t>Bảng 8: 1.3.1</t>
        </is>
      </c>
      <c r="D57" s="14" t="inlineStr">
        <is>
          <t>Cấp tín dụng có bảo đảm/reverse repo — RMBS đủ điều kiện</t>
        </is>
      </c>
      <c r="E57" s="31" t="n">
        <v>0.25</v>
      </c>
      <c r="F57" s="14" t="inlineStr">
        <is>
          <t>PL1.C.II.4.c</t>
        </is>
      </c>
      <c r="G57" s="14" t="n">
        <v>1902</v>
      </c>
      <c r="H57" s="14" t="inlineStr">
        <is>
          <t>[[src-tt50-2026-nhnn#^pl1-c2]]</t>
        </is>
      </c>
      <c r="I57" s="14" t="inlineStr"/>
      <c r="J57" s="32" t="n"/>
    </row>
    <row r="58">
      <c r="A58" s="14" t="inlineStr">
        <is>
          <t>I_RR_2B</t>
        </is>
      </c>
      <c r="B58" s="14" t="inlineStr">
        <is>
          <t>Dòng vào</t>
        </is>
      </c>
      <c r="C58" s="14" t="inlineStr">
        <is>
          <t>Bảng 8: 1.3.2</t>
        </is>
      </c>
      <c r="D58" s="14" t="inlineStr">
        <is>
          <t>Cấp tín dụng có bảo đảm/reverse repo — tài sản cấp 2B khác</t>
        </is>
      </c>
      <c r="E58" s="31" t="n">
        <v>0.5</v>
      </c>
      <c r="F58" s="14" t="inlineStr">
        <is>
          <t>PL1.C.II.4.d</t>
        </is>
      </c>
      <c r="G58" s="14" t="n">
        <v>1903</v>
      </c>
      <c r="H58" s="14" t="inlineStr">
        <is>
          <t>[[src-tt50-2026-nhnn#^pl1-c2]]</t>
        </is>
      </c>
      <c r="I58" s="14" t="inlineStr"/>
      <c r="J58" s="32" t="n"/>
    </row>
    <row r="59">
      <c r="A59" s="14" t="inlineStr">
        <is>
          <t>I_MARGIN</t>
        </is>
      </c>
      <c r="B59" s="14" t="inlineStr">
        <is>
          <t>Dòng vào</t>
        </is>
      </c>
      <c r="C59" s="14" t="inlineStr">
        <is>
          <t>Bảng 8: 1.4</t>
        </is>
      </c>
      <c r="D59" s="14" t="inlineStr">
        <is>
          <t>Khoản cho vay ký quỹ (margin loans)</t>
        </is>
      </c>
      <c r="E59" s="31" t="n">
        <v>0.5</v>
      </c>
      <c r="F59" s="14" t="inlineStr">
        <is>
          <t>PL1.C.II.4.đ</t>
        </is>
      </c>
      <c r="G59" s="14" t="n">
        <v>1904</v>
      </c>
      <c r="H59" s="14" t="inlineStr">
        <is>
          <t>[[src-tt50-2026-nhnn#^pl1-c2]]</t>
        </is>
      </c>
      <c r="I59" s="14" t="inlineStr"/>
      <c r="J59" s="32" t="n"/>
    </row>
    <row r="60">
      <c r="A60" s="14" t="inlineStr">
        <is>
          <t>I_RR_OTH</t>
        </is>
      </c>
      <c r="B60" s="14" t="inlineStr">
        <is>
          <t>Dòng vào</t>
        </is>
      </c>
      <c r="C60" s="14" t="inlineStr">
        <is>
          <t>Bảng 8: 1.5</t>
        </is>
      </c>
      <c r="D60" s="14" t="inlineStr">
        <is>
          <t>Cấp tín dụng có bảo đảm/reverse repo — tài sản tài chính khác</t>
        </is>
      </c>
      <c r="E60" s="31" t="n">
        <v>1</v>
      </c>
      <c r="F60" s="14" t="inlineStr">
        <is>
          <t>PL1.C.II.4.e</t>
        </is>
      </c>
      <c r="G60" s="14" t="n">
        <v>1905</v>
      </c>
      <c r="H60" s="14" t="inlineStr">
        <is>
          <t>[[src-tt50-2026-nhnn#^pl1-c2]]</t>
        </is>
      </c>
      <c r="I60" s="14" t="inlineStr"/>
      <c r="J60" s="32" t="n"/>
    </row>
    <row r="61">
      <c r="A61" s="14" t="inlineStr">
        <is>
          <t>I_FAC</t>
        </is>
      </c>
      <c r="B61" s="14" t="inlineStr">
        <is>
          <t>Dòng vào</t>
        </is>
      </c>
      <c r="C61" s="14" t="inlineStr">
        <is>
          <t>Bảng 8: 2</t>
        </is>
      </c>
      <c r="D61" s="14" t="inlineStr">
        <is>
          <t>Hạn mức tín dụng/thanh khoản do tổ chức khác cấp cho ngân hàng</t>
        </is>
      </c>
      <c r="E61" s="31" t="n">
        <v>0</v>
      </c>
      <c r="F61" s="14" t="inlineStr">
        <is>
          <t>PL1.C.III</t>
        </is>
      </c>
      <c r="G61" s="14" t="n">
        <v>1911</v>
      </c>
      <c r="H61" s="14" t="inlineStr">
        <is>
          <t>[[src-tt50-2026-nhnn#^pl1-c1]]</t>
        </is>
      </c>
      <c r="I61" s="14" t="inlineStr"/>
      <c r="J61" s="32" t="n"/>
    </row>
    <row r="62">
      <c r="A62" s="14" t="inlineStr">
        <is>
          <t>I_OPD</t>
        </is>
      </c>
      <c r="B62" s="14" t="inlineStr">
        <is>
          <t>Dòng vào</t>
        </is>
      </c>
      <c r="C62" s="14" t="inlineStr">
        <is>
          <t>Bảng 8: 3.1</t>
        </is>
      </c>
      <c r="D62" s="14" t="inlineStr">
        <is>
          <t>Tiền gửi hoạt động tại tổ chức tài chính khác</t>
        </is>
      </c>
      <c r="E62" s="31" t="n">
        <v>0</v>
      </c>
      <c r="F62" s="14" t="inlineStr">
        <is>
          <t>PL1.C.IV.8.a</t>
        </is>
      </c>
      <c r="G62" s="14" t="n">
        <v>1949</v>
      </c>
      <c r="H62" s="14" t="inlineStr">
        <is>
          <t>[[src-tt50-2026-nhnn#^pl1-c4]]</t>
        </is>
      </c>
      <c r="I62" s="14" t="inlineStr"/>
      <c r="J62" s="32" t="n"/>
    </row>
    <row r="63">
      <c r="A63" s="14" t="inlineStr">
        <is>
          <t>I_OPD_EX</t>
        </is>
      </c>
      <c r="B63" s="14" t="inlineStr">
        <is>
          <t>Dòng vào</t>
        </is>
      </c>
      <c r="C63" s="14" t="inlineStr">
        <is>
          <t>Bảng 8: 3.2</t>
        </is>
      </c>
      <c r="D63" s="14" t="inlineStr">
        <is>
          <t>Phần tiền gửi hoạt động dư thừa đủ điều kiện</t>
        </is>
      </c>
      <c r="E63" s="31" t="n">
        <v>1</v>
      </c>
      <c r="F63" s="14" t="inlineStr">
        <is>
          <t>PL1.C.IV.8.b</t>
        </is>
      </c>
      <c r="G63" s="14" t="n">
        <v>1951</v>
      </c>
      <c r="H63" s="14" t="inlineStr">
        <is>
          <t>chưa có claim trong source note</t>
        </is>
      </c>
      <c r="I63" s="14" t="inlineStr"/>
      <c r="J63" s="32" t="n"/>
    </row>
    <row r="64">
      <c r="A64" s="14" t="inlineStr">
        <is>
          <t>I_CORR</t>
        </is>
      </c>
      <c r="B64" s="14" t="inlineStr">
        <is>
          <t>Dòng vào</t>
        </is>
      </c>
      <c r="C64" s="14" t="inlineStr">
        <is>
          <t>Bảng 8: 4.1</t>
        </is>
      </c>
      <c r="D64" s="14" t="inlineStr">
        <is>
          <t>Tiền gửi từ hoạt động ngân hàng đại lý</t>
        </is>
      </c>
      <c r="E64" s="31" t="n">
        <v>0</v>
      </c>
      <c r="F64" s="14" t="inlineStr">
        <is>
          <t>PL1.C.IV.9</t>
        </is>
      </c>
      <c r="G64" s="14" t="n">
        <v>1953</v>
      </c>
      <c r="H64" s="14" t="inlineStr">
        <is>
          <t>chưa có claim trong source note</t>
        </is>
      </c>
      <c r="I64" s="14" t="inlineStr"/>
      <c r="J64" s="32" t="n"/>
    </row>
    <row r="65">
      <c r="A65" s="14" t="inlineStr">
        <is>
          <t>I_CORR_EX</t>
        </is>
      </c>
      <c r="B65" s="14" t="inlineStr">
        <is>
          <t>Dòng vào</t>
        </is>
      </c>
      <c r="C65" s="14" t="inlineStr">
        <is>
          <t>Bảng 8: 4.2</t>
        </is>
      </c>
      <c r="D65" s="14" t="inlineStr">
        <is>
          <t>Phần tiền gửi đại lý dư thừa đủ điều kiện</t>
        </is>
      </c>
      <c r="E65" s="31" t="n">
        <v>1</v>
      </c>
      <c r="F65" s="14" t="inlineStr">
        <is>
          <t>PL1.C.IV.9</t>
        </is>
      </c>
      <c r="G65" s="14" t="n">
        <v>1953</v>
      </c>
      <c r="H65" s="14" t="inlineStr">
        <is>
          <t>chưa có claim trong source note</t>
        </is>
      </c>
      <c r="I65" s="14" t="inlineStr"/>
      <c r="J65" s="32" t="n"/>
    </row>
    <row r="66">
      <c r="A66" s="14" t="inlineStr">
        <is>
          <t>I_RET</t>
        </is>
      </c>
      <c r="B66" s="14" t="inlineStr">
        <is>
          <t>Dòng vào</t>
        </is>
      </c>
      <c r="C66" s="14" t="inlineStr">
        <is>
          <t>Bảng 8: 5.1</t>
        </is>
      </c>
      <c r="D66" s="14" t="inlineStr">
        <is>
          <t>Phải thu từ khách hàng bán lẻ, DNNVV đủ điều kiện</t>
        </is>
      </c>
      <c r="E66" s="31" t="n">
        <v>0.5</v>
      </c>
      <c r="F66" s="14" t="inlineStr">
        <is>
          <t>PL1.C.IV.5</t>
        </is>
      </c>
      <c r="G66" s="14" t="n">
        <v>1925</v>
      </c>
      <c r="H66" s="14" t="inlineStr">
        <is>
          <t>[[src-tt50-2026-nhnn#^pl1-c4]]</t>
        </is>
      </c>
      <c r="I66" s="14" t="inlineStr"/>
      <c r="J66" s="32" t="n"/>
    </row>
    <row r="67">
      <c r="A67" s="14" t="inlineStr">
        <is>
          <t>I_CORP</t>
        </is>
      </c>
      <c r="B67" s="14" t="inlineStr">
        <is>
          <t>Dòng vào</t>
        </is>
      </c>
      <c r="C67" s="14" t="inlineStr">
        <is>
          <t>Bảng 8: 5.2.1</t>
        </is>
      </c>
      <c r="D67" s="14" t="inlineStr">
        <is>
          <t>Phải thu từ DN không phải tổ chức tài chính</t>
        </is>
      </c>
      <c r="E67" s="31" t="n">
        <v>0.5</v>
      </c>
      <c r="F67" s="14" t="inlineStr">
        <is>
          <t>PL1.C.IV.6.b(i)</t>
        </is>
      </c>
      <c r="G67" s="14" t="n">
        <v>1933</v>
      </c>
      <c r="H67" s="14" t="inlineStr">
        <is>
          <t>[[src-tt50-2026-nhnn#^pl1-c4]]</t>
        </is>
      </c>
      <c r="I67" s="14" t="inlineStr"/>
      <c r="J67" s="32" t="n"/>
    </row>
    <row r="68">
      <c r="A68" s="14" t="inlineStr">
        <is>
          <t>I_GOV</t>
        </is>
      </c>
      <c r="B68" s="14" t="inlineStr">
        <is>
          <t>Dòng vào</t>
        </is>
      </c>
      <c r="C68" s="14" t="inlineStr">
        <is>
          <t>Bảng 8: 5.2.2</t>
        </is>
      </c>
      <c r="D68" s="14" t="inlineStr">
        <is>
          <t>Phải thu từ Chính phủ, KBNN, UBND, BHTG</t>
        </is>
      </c>
      <c r="E68" s="31" t="n">
        <v>0.5</v>
      </c>
      <c r="F68" s="14" t="inlineStr">
        <is>
          <t>PL1.C.IV.6.b(ii)</t>
        </is>
      </c>
      <c r="G68" s="14" t="n">
        <v>1935</v>
      </c>
      <c r="H68" s="14" t="inlineStr">
        <is>
          <t>[[src-tt50-2026-nhnn#^pl1-c4]]</t>
        </is>
      </c>
      <c r="I68" s="14" t="inlineStr"/>
      <c r="J68" s="32" t="n"/>
    </row>
    <row r="69">
      <c r="A69" s="14" t="inlineStr">
        <is>
          <t>I_ORG</t>
        </is>
      </c>
      <c r="B69" s="14" t="inlineStr">
        <is>
          <t>Dòng vào</t>
        </is>
      </c>
      <c r="C69" s="14" t="inlineStr">
        <is>
          <t>Bảng 8: 5.2.3</t>
        </is>
      </c>
      <c r="D69" s="14" t="inlineStr">
        <is>
          <t>Phải thu từ tổ chức tài chính quốc tế, PSE nước ngoài, tổ chức khác</t>
        </is>
      </c>
      <c r="E69" s="31" t="n">
        <v>0.5</v>
      </c>
      <c r="F69" s="14" t="inlineStr">
        <is>
          <t>PL1.C.IV.6.b(iii)–(v)</t>
        </is>
      </c>
      <c r="G69" s="14" t="n">
        <v>1937</v>
      </c>
      <c r="H69" s="14" t="inlineStr">
        <is>
          <t>[[src-tt50-2026-nhnn#^pl1-c4]]</t>
        </is>
      </c>
      <c r="I69" s="14" t="inlineStr"/>
      <c r="J69" s="32" t="n"/>
    </row>
    <row r="70">
      <c r="A70" s="14" t="inlineStr">
        <is>
          <t>I_FI</t>
        </is>
      </c>
      <c r="B70" s="14" t="inlineStr">
        <is>
          <t>Dòng vào</t>
        </is>
      </c>
      <c r="C70" s="14" t="inlineStr">
        <is>
          <t>Bảng 8: 5.3</t>
        </is>
      </c>
      <c r="D70" s="14" t="inlineStr">
        <is>
          <t>Phải thu từ tổ chức tài chính và NHNN</t>
        </is>
      </c>
      <c r="E70" s="31" t="n">
        <v>1</v>
      </c>
      <c r="F70" s="14" t="inlineStr">
        <is>
          <t>PL1.C.IV.6.a</t>
        </is>
      </c>
      <c r="G70" s="14" t="n">
        <v>1929</v>
      </c>
      <c r="H70" s="14" t="inlineStr">
        <is>
          <t>[[src-tt50-2026-nhnn#^pl1-c4]]</t>
        </is>
      </c>
      <c r="I70" s="14" t="inlineStr"/>
      <c r="J70" s="32" t="n"/>
    </row>
    <row r="71">
      <c r="A71" s="14" t="inlineStr">
        <is>
          <t>I_DERIV</t>
        </is>
      </c>
      <c r="B71" s="14" t="inlineStr">
        <is>
          <t>Dòng vào</t>
        </is>
      </c>
      <c r="C71" s="14" t="inlineStr">
        <is>
          <t>Bảng 8: 6</t>
        </is>
      </c>
      <c r="D71" s="14" t="inlineStr">
        <is>
          <t>Dòng tiền vào ròng từ công cụ phái sinh</t>
        </is>
      </c>
      <c r="E71" s="31" t="n">
        <v>1</v>
      </c>
      <c r="F71" s="14" t="inlineStr">
        <is>
          <t>PL1.C.V.1</t>
        </is>
      </c>
      <c r="G71" s="14" t="n">
        <v>1957</v>
      </c>
      <c r="H71" s="14" t="inlineStr">
        <is>
          <t>chưa có claim trong source note</t>
        </is>
      </c>
      <c r="I71" s="14" t="inlineStr"/>
      <c r="J71" s="32" t="n"/>
    </row>
    <row r="72">
      <c r="A72" s="14" t="inlineStr">
        <is>
          <t>I_SEC</t>
        </is>
      </c>
      <c r="B72" s="14" t="inlineStr">
        <is>
          <t>Dòng vào</t>
        </is>
      </c>
      <c r="C72" s="14" t="inlineStr">
        <is>
          <t>Bảng 8: 7</t>
        </is>
      </c>
      <c r="D72" s="14" t="inlineStr">
        <is>
          <t>Chứng khoán không thuộc HQLA đáo hạn trong 30 ngày</t>
        </is>
      </c>
      <c r="E72" s="31" t="n">
        <v>1</v>
      </c>
      <c r="F72" s="14" t="inlineStr">
        <is>
          <t>PL1.C.IV.7</t>
        </is>
      </c>
      <c r="G72" s="14" t="n">
        <v>1943</v>
      </c>
      <c r="H72" s="14" t="inlineStr">
        <is>
          <t>[[src-tt50-2026-nhnn#^pl1-c4]]</t>
        </is>
      </c>
      <c r="I72" s="14" t="inlineStr"/>
      <c r="J72" s="32" t="n"/>
    </row>
    <row r="73">
      <c r="A73" s="14" t="inlineStr">
        <is>
          <t>CAP_IN</t>
        </is>
      </c>
      <c r="B73" s="14" t="inlineStr">
        <is>
          <t>Tổng hợp</t>
        </is>
      </c>
      <c r="C73" s="14" t="inlineStr">
        <is>
          <t>Đ21.2</t>
        </is>
      </c>
      <c r="D73" s="14" t="inlineStr">
        <is>
          <t>Trần dòng tiền vào / tổng dòng tiền ra</t>
        </is>
      </c>
      <c r="E73" s="31" t="n">
        <v>0.75</v>
      </c>
      <c r="F73" s="14" t="inlineStr">
        <is>
          <t>Đ21.2</t>
        </is>
      </c>
      <c r="G73" s="14" t="n">
        <v>705</v>
      </c>
      <c r="H73" s="14" t="inlineStr">
        <is>
          <t>[[src-tt50-2026-nhnn#^d21-2]]</t>
        </is>
      </c>
      <c r="I73" s="14" t="inlineStr"/>
      <c r="J73" s="32" t="n"/>
    </row>
    <row r="74">
      <c r="A74" s="14" t="inlineStr">
        <is>
          <t>RISK_90</t>
        </is>
      </c>
      <c r="B74" s="14" t="inlineStr">
        <is>
          <t>Tổng hợp</t>
        </is>
      </c>
      <c r="C74" s="14" t="inlineStr">
        <is>
          <t>Đ18.1</t>
        </is>
      </c>
      <c r="D74" s="14" t="inlineStr">
        <is>
          <t>Ngưỡng nguy cơ mất khả năng chi trả: HQLA đủ điều kiện / HQLA phải đáp ứng</t>
        </is>
      </c>
      <c r="E74" s="31" t="n">
        <v>0.9</v>
      </c>
      <c r="F74" s="14" t="inlineStr">
        <is>
          <t>Đ18.1</t>
        </is>
      </c>
      <c r="G74" s="14" t="n">
        <v>645</v>
      </c>
      <c r="H74" s="14" t="inlineStr">
        <is>
          <t>[[src-tt50-2026-nhnn#^d18-1]]</t>
        </is>
      </c>
      <c r="I74" s="14" t="inlineStr">
        <is>
          <t>Vi phạm khi kéo dài 30 ngày liên tục</t>
        </is>
      </c>
      <c r="J74" s="32" t="n"/>
    </row>
    <row r="75">
      <c r="A75" s="14" t="inlineStr">
        <is>
          <t>RM_Y1</t>
        </is>
      </c>
      <c r="B75" s="14" t="inlineStr">
        <is>
          <t>Lộ trình</t>
        </is>
      </c>
      <c r="C75" s="14" t="inlineStr">
        <is>
          <t>Đ16.1.c</t>
        </is>
      </c>
      <c r="D75" s="14" t="inlineStr">
        <is>
          <t>Ngưỡng LCR quy VNĐ riêng lẻ — năm thứ nhất</t>
        </is>
      </c>
      <c r="E75" s="31" t="n">
        <v>0.5</v>
      </c>
      <c r="F75" s="14" t="inlineStr">
        <is>
          <t>Đ16.1.c, Bảng 1</t>
        </is>
      </c>
      <c r="G75" s="14" t="n">
        <v>601</v>
      </c>
      <c r="H75" s="14" t="inlineStr">
        <is>
          <t>[[src-tt50-2026-nhnn#^d16-1c]]</t>
        </is>
      </c>
      <c r="I75" s="14" t="inlineStr"/>
      <c r="J75" s="32" t="n"/>
    </row>
    <row r="76">
      <c r="A76" s="14" t="inlineStr">
        <is>
          <t>RM_Y2</t>
        </is>
      </c>
      <c r="B76" s="14" t="inlineStr">
        <is>
          <t>Lộ trình</t>
        </is>
      </c>
      <c r="C76" s="14" t="inlineStr">
        <is>
          <t>Đ16.1.c</t>
        </is>
      </c>
      <c r="D76" s="14" t="inlineStr">
        <is>
          <t>Ngưỡng LCR quy VNĐ riêng lẻ — năm thứ hai</t>
        </is>
      </c>
      <c r="E76" s="31" t="n">
        <v>0.6</v>
      </c>
      <c r="F76" s="14" t="inlineStr">
        <is>
          <t>Đ16.1.c, Bảng 1</t>
        </is>
      </c>
      <c r="G76" s="14" t="n">
        <v>601</v>
      </c>
      <c r="H76" s="14" t="inlineStr">
        <is>
          <t>[[src-tt50-2026-nhnn#^d16-1c]]</t>
        </is>
      </c>
      <c r="I76" s="14" t="inlineStr"/>
      <c r="J76" s="32" t="n"/>
    </row>
    <row r="77">
      <c r="A77" s="14" t="inlineStr">
        <is>
          <t>RM_Y3</t>
        </is>
      </c>
      <c r="B77" s="14" t="inlineStr">
        <is>
          <t>Lộ trình</t>
        </is>
      </c>
      <c r="C77" s="14" t="inlineStr">
        <is>
          <t>Đ16.1.c</t>
        </is>
      </c>
      <c r="D77" s="14" t="inlineStr">
        <is>
          <t>Ngưỡng LCR quy VNĐ riêng lẻ — năm thứ ba</t>
        </is>
      </c>
      <c r="E77" s="31" t="n">
        <v>0.7</v>
      </c>
      <c r="F77" s="14" t="inlineStr">
        <is>
          <t>Đ16.1.c, Bảng 1</t>
        </is>
      </c>
      <c r="G77" s="14" t="n">
        <v>601</v>
      </c>
      <c r="H77" s="14" t="inlineStr">
        <is>
          <t>[[src-tt50-2026-nhnn#^d16-1c]]</t>
        </is>
      </c>
      <c r="I77" s="14" t="inlineStr"/>
      <c r="J77" s="32" t="n"/>
    </row>
    <row r="78">
      <c r="A78" s="14" t="inlineStr">
        <is>
          <t>RM_Y4</t>
        </is>
      </c>
      <c r="B78" s="14" t="inlineStr">
        <is>
          <t>Lộ trình</t>
        </is>
      </c>
      <c r="C78" s="14" t="inlineStr">
        <is>
          <t>Đ16.1.c</t>
        </is>
      </c>
      <c r="D78" s="14" t="inlineStr">
        <is>
          <t>Ngưỡng LCR quy VNĐ riêng lẻ — năm thứ tư</t>
        </is>
      </c>
      <c r="E78" s="31" t="n">
        <v>0.8</v>
      </c>
      <c r="F78" s="14" t="inlineStr">
        <is>
          <t>Đ16.1.c, Bảng 1</t>
        </is>
      </c>
      <c r="G78" s="14" t="n">
        <v>601</v>
      </c>
      <c r="H78" s="14" t="inlineStr">
        <is>
          <t>[[src-tt50-2026-nhnn#^d16-1c]]</t>
        </is>
      </c>
      <c r="I78" s="14" t="inlineStr"/>
      <c r="J78" s="32" t="n"/>
    </row>
    <row r="79">
      <c r="A79" s="14" t="inlineStr">
        <is>
          <t>RM_Y5</t>
        </is>
      </c>
      <c r="B79" s="14" t="inlineStr">
        <is>
          <t>Lộ trình</t>
        </is>
      </c>
      <c r="C79" s="14" t="inlineStr">
        <is>
          <t>Đ16.1.c</t>
        </is>
      </c>
      <c r="D79" s="14" t="inlineStr">
        <is>
          <t>Ngưỡng LCR quy VNĐ riêng lẻ — năm thứ năm</t>
        </is>
      </c>
      <c r="E79" s="31" t="n">
        <v>0.9</v>
      </c>
      <c r="F79" s="14" t="inlineStr">
        <is>
          <t>Đ16.1.c, Bảng 1</t>
        </is>
      </c>
      <c r="G79" s="14" t="n">
        <v>601</v>
      </c>
      <c r="H79" s="14" t="inlineStr">
        <is>
          <t>[[src-tt50-2026-nhnn#^d16-1c]]</t>
        </is>
      </c>
      <c r="I79" s="14" t="inlineStr"/>
      <c r="J79" s="32" t="n"/>
    </row>
    <row r="80">
      <c r="A80" s="14" t="inlineStr">
        <is>
          <t>RM_Y6</t>
        </is>
      </c>
      <c r="B80" s="14" t="inlineStr">
        <is>
          <t>Lộ trình</t>
        </is>
      </c>
      <c r="C80" s="14" t="inlineStr">
        <is>
          <t>Đ16.1.c</t>
        </is>
      </c>
      <c r="D80" s="14" t="inlineStr">
        <is>
          <t>Ngưỡng LCR quy VNĐ riêng lẻ — năm thứ sáu trở đi</t>
        </is>
      </c>
      <c r="E80" s="31" t="n">
        <v>1</v>
      </c>
      <c r="F80" s="14" t="inlineStr">
        <is>
          <t>Đ16.1.c, Bảng 1</t>
        </is>
      </c>
      <c r="G80" s="14" t="n">
        <v>601</v>
      </c>
      <c r="H80" s="14" t="inlineStr">
        <is>
          <t>[[src-tt50-2026-nhnn#^d16-1c]]</t>
        </is>
      </c>
      <c r="I80" s="14" t="inlineStr"/>
      <c r="J80" s="32" t="n"/>
    </row>
    <row r="81">
      <c r="A81" s="10" t="n"/>
      <c r="B81" s="10" t="n"/>
      <c r="C81" s="10" t="n"/>
      <c r="D81" s="10" t="n"/>
      <c r="E81" s="10" t="n"/>
      <c r="F81" s="10" t="n"/>
      <c r="G81" s="10" t="n"/>
      <c r="H81" s="10" t="n"/>
      <c r="I81" s="10" t="n"/>
      <c r="J81" s="10" t="n"/>
    </row>
    <row r="82">
      <c r="A82" s="22" t="inlineStr">
        <is>
          <t>RM_START</t>
        </is>
      </c>
      <c r="B82" s="22" t="inlineStr">
        <is>
          <t>Lộ trình</t>
        </is>
      </c>
      <c r="C82" s="35" t="n"/>
      <c r="D82" s="22" t="inlineStr">
        <is>
          <t>Ngày bắt đầu lộ trình với ngân hàng thuộc Đ13.1</t>
        </is>
      </c>
      <c r="E82" s="36" t="n">
        <v>47027</v>
      </c>
      <c r="F82" s="22" t="inlineStr">
        <is>
          <t>Đ13.1</t>
        </is>
      </c>
      <c r="G82" s="22" t="n">
        <v>445</v>
      </c>
      <c r="H82" s="22" t="inlineStr">
        <is>
          <t>[[src-tt50-2026-nhnn#^d13-1]]</t>
        </is>
      </c>
      <c r="I82" s="35" t="n"/>
      <c r="J82" s="37" t="n"/>
    </row>
  </sheetData>
  <mergeCells count="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4"/>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2" customWidth="1" min="3" max="3"/>
    <col width="12" customWidth="1" min="4" max="4"/>
    <col width="11" customWidth="1" min="5" max="5"/>
    <col width="15" customWidth="1" min="6" max="6"/>
    <col width="16" customWidth="1" min="7" max="7"/>
    <col width="22" customWidth="1" min="8" max="8"/>
    <col width="30" customWidth="1" min="9" max="9"/>
  </cols>
  <sheetData>
    <row r="1">
      <c r="A1" s="9" t="inlineStr">
        <is>
          <t>HQLA ĐỦ ĐIỀU KIỆN — TT50 PL1 Bảng 3</t>
        </is>
      </c>
      <c r="B1" s="10" t="n"/>
      <c r="C1" s="10" t="n"/>
      <c r="D1" s="10" t="n"/>
      <c r="E1" s="10" t="n"/>
      <c r="F1" s="10" t="n"/>
      <c r="G1" s="10" t="n"/>
      <c r="H1" s="10" t="n"/>
      <c r="I1" s="10" t="n"/>
    </row>
    <row r="2" ht="40" customHeight="1">
      <c r="A2" s="8" t="inlineStr">
        <is>
          <t>Đơn vị: tỷ đồng. Ô nền vàng chữ xanh = nhập liệu (SỐ LIỆU MINH HOẠ). Cột (1): số dư đủ điều kiện theo giá thị trường. Cột (2): giá trị sau unwinding giao dịch có bảo đảm/repo/reverse repo đáo hạn trong 30 ngày — để trống nếu không có giao dịch cần đảo ngược, khi đó (5) lấy theo (1) (PL1.A.I.c).</t>
        </is>
      </c>
      <c r="B2" s="10" t="n"/>
      <c r="C2" s="10" t="n"/>
      <c r="D2" s="10" t="n"/>
      <c r="E2" s="10" t="n"/>
      <c r="F2" s="10" t="n"/>
      <c r="G2" s="10" t="n"/>
      <c r="H2" s="10" t="n"/>
      <c r="I2" s="10" t="n"/>
    </row>
    <row r="3">
      <c r="A3" s="10" t="n"/>
      <c r="B3" s="10" t="n"/>
      <c r="C3" s="10" t="n"/>
      <c r="D3" s="10" t="n"/>
      <c r="E3" s="10" t="n"/>
      <c r="F3" s="10" t="n"/>
      <c r="G3" s="10" t="n"/>
      <c r="H3" s="10" t="n"/>
      <c r="I3" s="10" t="n"/>
    </row>
    <row r="4" ht="55" customHeight="1">
      <c r="A4" s="30" t="inlineStr">
        <is>
          <t>Mục</t>
        </is>
      </c>
      <c r="B4" s="30" t="inlineStr">
        <is>
          <t>Các loại tài sản</t>
        </is>
      </c>
      <c r="C4" s="30" t="inlineStr">
        <is>
          <t>Số dư</t>
        </is>
      </c>
      <c r="D4" s="30" t="inlineStr">
        <is>
          <t>Giá trị điều chỉnh</t>
        </is>
      </c>
      <c r="E4" s="30" t="inlineStr">
        <is>
          <t>Hệ số thanh khoản</t>
        </is>
      </c>
      <c r="F4" s="30" t="inlineStr">
        <is>
          <t>Giá trị sau khi nhân với hệ số thanh khoản</t>
        </is>
      </c>
      <c r="G4" s="30" t="inlineStr">
        <is>
          <t>Giá trị điều chỉnh sau khi nhân với hệ số thanh khoản</t>
        </is>
      </c>
      <c r="H4" s="30" t="inlineStr">
        <is>
          <t>Nội dung hướng dẫn tại PL1</t>
        </is>
      </c>
      <c r="I4" s="30" t="inlineStr">
        <is>
          <t>Căn cứ / citation</t>
        </is>
      </c>
    </row>
    <row r="5">
      <c r="A5" s="38" t="inlineStr"/>
      <c r="B5" s="38" t="inlineStr"/>
      <c r="C5" s="38" t="inlineStr">
        <is>
          <t>(1)</t>
        </is>
      </c>
      <c r="D5" s="38" t="inlineStr">
        <is>
          <t>(2)</t>
        </is>
      </c>
      <c r="E5" s="38" t="inlineStr">
        <is>
          <t>(3)</t>
        </is>
      </c>
      <c r="F5" s="38" t="inlineStr">
        <is>
          <t>(4)=(1)x(3)</t>
        </is>
      </c>
      <c r="G5" s="38" t="inlineStr">
        <is>
          <t>(5)=(2)x(3)</t>
        </is>
      </c>
      <c r="H5" s="38" t="inlineStr"/>
      <c r="I5" s="38" t="inlineStr"/>
    </row>
    <row r="6">
      <c r="A6" s="39" t="inlineStr">
        <is>
          <t>1</t>
        </is>
      </c>
      <c r="B6" s="40" t="inlineStr">
        <is>
          <t>Tài sản cấp 1 = ∑(1.1÷1.7)</t>
        </is>
      </c>
      <c r="C6" s="41">
        <f>C7+C8+C9+C10+C13+C14+C15</f>
        <v/>
      </c>
      <c r="D6" s="41" t="n"/>
      <c r="E6" s="42" t="n"/>
      <c r="F6" s="41">
        <f>F7+F8+F9+F10+F13+F14+F15</f>
        <v/>
      </c>
      <c r="G6" s="41">
        <f>G7+G8+G9+G10+G13+G14+G15</f>
        <v/>
      </c>
      <c r="H6" s="43" t="inlineStr"/>
      <c r="I6" s="43" t="n"/>
    </row>
    <row r="7">
      <c r="A7" s="22" t="inlineStr">
        <is>
          <t>1.1</t>
        </is>
      </c>
      <c r="B7" s="14" t="inlineStr">
        <is>
          <t>Tiền mặt</t>
        </is>
      </c>
      <c r="C7" s="44" t="n">
        <v>3200</v>
      </c>
      <c r="D7" s="44" t="n"/>
      <c r="E7" s="24">
        <f>ThamSo!$E$5</f>
        <v/>
      </c>
      <c r="F7" s="45">
        <f>C7*E7</f>
        <v/>
      </c>
      <c r="G7" s="45">
        <f>IF(D7="",C7,D7)*E7</f>
        <v/>
      </c>
      <c r="H7" s="18" t="inlineStr">
        <is>
          <t>Điểm 3a Mục II Phần A</t>
        </is>
      </c>
      <c r="I7" s="18" t="inlineStr">
        <is>
          <t>PL1.A.II.1 (raw dòng 1217); [[src-tt50-2026-nhnn#^pl1-a2]]</t>
        </is>
      </c>
    </row>
    <row r="8">
      <c r="A8" s="22" t="inlineStr">
        <is>
          <t>1.2</t>
        </is>
      </c>
      <c r="B8" s="14" t="inlineStr">
        <is>
          <t>Tiền gửi (bao gồm cả tiền gửi dự trữ bắt buộc) tại Ngân hàng Nhà nước</t>
        </is>
      </c>
      <c r="C8" s="44" t="n">
        <v>14500</v>
      </c>
      <c r="D8" s="44" t="n">
        <v>11500</v>
      </c>
      <c r="E8" s="24">
        <f>ThamSo!$E$5</f>
        <v/>
      </c>
      <c r="F8" s="45">
        <f>C8*E8</f>
        <v/>
      </c>
      <c r="G8" s="45">
        <f>IF(D8="",C8,D8)*E8</f>
        <v/>
      </c>
      <c r="H8" s="18" t="inlineStr">
        <is>
          <t>Điểm 3b Mục II Phần A</t>
        </is>
      </c>
      <c r="I8" s="18" t="inlineStr">
        <is>
          <t>PL1.A.II.1 (raw dòng 1217); [[src-tt50-2026-nhnn#^pl1-a2]]</t>
        </is>
      </c>
    </row>
    <row r="9">
      <c r="A9" s="22" t="inlineStr">
        <is>
          <t>1.3</t>
        </is>
      </c>
      <c r="B9" s="14" t="inlineStr">
        <is>
          <t>Chứng khoán của Chính phủ, NHTW các nước khác, tổ chức công lập của Chính phủ và tổ chức tài chính quốc tế đáp ứng điều kiện và chứng khoán được đảm bảo bởi các đối tượng này</t>
        </is>
      </c>
      <c r="C9" s="44" t="n">
        <v>0</v>
      </c>
      <c r="D9" s="44" t="n"/>
      <c r="E9" s="24">
        <f>ThamSo!$E$5</f>
        <v/>
      </c>
      <c r="F9" s="45">
        <f>C9*E9</f>
        <v/>
      </c>
      <c r="G9" s="45">
        <f>IF(D9="",C9,D9)*E9</f>
        <v/>
      </c>
      <c r="H9" s="18" t="inlineStr">
        <is>
          <t>Điểm 3c Mục II Phần A</t>
        </is>
      </c>
      <c r="I9" s="18" t="inlineStr">
        <is>
          <t>PL1.A.II.1 (raw dòng 1217); [[src-tt50-2026-nhnn#^pl1-a2]]</t>
        </is>
      </c>
    </row>
    <row r="10">
      <c r="A10" s="39" t="inlineStr">
        <is>
          <t>1.4</t>
        </is>
      </c>
      <c r="B10" s="40" t="inlineStr">
        <is>
          <t>Công cụ nợ, trái phiếu Chính phủ Việt Nam hoặc Ngân hàng Nhà nước = (1.4.1) + (1.4.2)</t>
        </is>
      </c>
      <c r="C10" s="41">
        <f>C11+C12</f>
        <v/>
      </c>
      <c r="D10" s="41" t="n"/>
      <c r="E10" s="42" t="n"/>
      <c r="F10" s="41">
        <f>F11+F12</f>
        <v/>
      </c>
      <c r="G10" s="41">
        <f>G11+G12</f>
        <v/>
      </c>
      <c r="H10" s="43" t="inlineStr"/>
      <c r="I10" s="43" t="n"/>
    </row>
    <row r="11">
      <c r="A11" s="22" t="inlineStr">
        <is>
          <t>1.4.1</t>
        </is>
      </c>
      <c r="B11" s="14" t="inlineStr">
        <is>
          <t xml:space="preserve">  Công cụ nợ bằng VNĐ</t>
        </is>
      </c>
      <c r="C11" s="44" t="n">
        <v>26000</v>
      </c>
      <c r="D11" s="44" t="n"/>
      <c r="E11" s="24">
        <f>ThamSo!$E$5</f>
        <v/>
      </c>
      <c r="F11" s="45">
        <f>C11*E11</f>
        <v/>
      </c>
      <c r="G11" s="45">
        <f>IF(D11="",C11,D11)*E11</f>
        <v/>
      </c>
      <c r="H11" s="18" t="inlineStr">
        <is>
          <t>Điểm 3d Mục II Phần A</t>
        </is>
      </c>
      <c r="I11" s="18" t="inlineStr">
        <is>
          <t>PL1.A.II.1 (raw dòng 1217); [[src-tt50-2026-nhnn#^pl1-a2]]</t>
        </is>
      </c>
    </row>
    <row r="12">
      <c r="A12" s="22" t="inlineStr">
        <is>
          <t>1.4.2</t>
        </is>
      </c>
      <c r="B12" s="14" t="inlineStr">
        <is>
          <t xml:space="preserve">  Công cụ nợ bằng ngoại tệ</t>
        </is>
      </c>
      <c r="C12" s="44" t="n">
        <v>800</v>
      </c>
      <c r="D12" s="44" t="n"/>
      <c r="E12" s="24">
        <f>ThamSo!$E$5</f>
        <v/>
      </c>
      <c r="F12" s="45">
        <f>C12*E12</f>
        <v/>
      </c>
      <c r="G12" s="45">
        <f>IF(D12="",C12,D12)*E12</f>
        <v/>
      </c>
      <c r="H12" s="18" t="inlineStr">
        <is>
          <t>Điểm 3đ Mục II Phần A</t>
        </is>
      </c>
      <c r="I12" s="18" t="inlineStr">
        <is>
          <t>PL1.A.II.1 (raw dòng 1217); [[src-tt50-2026-nhnn#^pl1-a2]]</t>
        </is>
      </c>
    </row>
    <row r="13">
      <c r="A13" s="22" t="inlineStr">
        <is>
          <t>1.5</t>
        </is>
      </c>
      <c r="B13" s="14" t="inlineStr">
        <is>
          <t>Trái phiếu được Chính phủ bảo lãnh thanh toán 100% giá trị gốc, lãi khi đến hạn; trái phiếu chính quyền địa phương</t>
        </is>
      </c>
      <c r="C13" s="44" t="n">
        <v>1500</v>
      </c>
      <c r="D13" s="44" t="n"/>
      <c r="E13" s="24">
        <f>ThamSo!$E$5</f>
        <v/>
      </c>
      <c r="F13" s="45">
        <f>C13*E13</f>
        <v/>
      </c>
      <c r="G13" s="45">
        <f>IF(D13="",C13,D13)*E13</f>
        <v/>
      </c>
      <c r="H13" s="18" t="inlineStr">
        <is>
          <t>Điểm 3e Mục II Phần A</t>
        </is>
      </c>
      <c r="I13" s="18" t="inlineStr">
        <is>
          <t>PL1.A.II.1 (raw dòng 1217); [[src-tt50-2026-nhnn#^pl1-a2]]</t>
        </is>
      </c>
    </row>
    <row r="14">
      <c r="A14" s="22" t="inlineStr">
        <is>
          <t>1.6</t>
        </is>
      </c>
      <c r="B14" s="14" t="inlineStr">
        <is>
          <t>Tài sản trong danh mục HQLA của chi nhánh ở nước ngoài của ngân hàng thương mại</t>
        </is>
      </c>
      <c r="C14" s="44" t="n">
        <v>0</v>
      </c>
      <c r="D14" s="44" t="n"/>
      <c r="E14" s="24">
        <f>ThamSo!$E$5</f>
        <v/>
      </c>
      <c r="F14" s="45">
        <f>C14*E14</f>
        <v/>
      </c>
      <c r="G14" s="45">
        <f>IF(D14="",C14,D14)*E14</f>
        <v/>
      </c>
      <c r="H14" s="18" t="inlineStr">
        <is>
          <t>Điểm 3g Mục II Phần A</t>
        </is>
      </c>
      <c r="I14" s="18" t="inlineStr">
        <is>
          <t>PL1.A.II.1 (raw dòng 1217); [[src-tt50-2026-nhnn#^pl1-a2]]</t>
        </is>
      </c>
    </row>
    <row r="15">
      <c r="A15" s="22" t="inlineStr">
        <is>
          <t>1.7</t>
        </is>
      </c>
      <c r="B15" s="14" t="inlineStr">
        <is>
          <t>Công cụ nợ, trái phiếu của Chính phủ và NHTW của quốc gia mà chi nhánh ở nước ngoài của NHTM đặt trụ sở (tối đa bằng dòng tiền ra ròng của chi nhánh đó)</t>
        </is>
      </c>
      <c r="C15" s="44" t="n">
        <v>0</v>
      </c>
      <c r="D15" s="44" t="n"/>
      <c r="E15" s="24">
        <f>ThamSo!$E$5</f>
        <v/>
      </c>
      <c r="F15" s="45">
        <f>C15*E15</f>
        <v/>
      </c>
      <c r="G15" s="45">
        <f>IF(D15="",C15,D15)*E15</f>
        <v/>
      </c>
      <c r="H15" s="18" t="inlineStr">
        <is>
          <t>Điểm 3h Mục II Phần A</t>
        </is>
      </c>
      <c r="I15" s="18" t="inlineStr">
        <is>
          <t>PL1.A.II.1 (raw dòng 1217); [[src-tt50-2026-nhnn#^pl1-a2]]</t>
        </is>
      </c>
    </row>
    <row r="16">
      <c r="A16" s="39" t="inlineStr">
        <is>
          <t>2</t>
        </is>
      </c>
      <c r="B16" s="40" t="inlineStr">
        <is>
          <t>Tài sản cấp 2</t>
        </is>
      </c>
      <c r="C16" s="41">
        <f>C17+C21</f>
        <v/>
      </c>
      <c r="D16" s="41" t="n"/>
      <c r="E16" s="42" t="n"/>
      <c r="F16" s="41">
        <f>F17+F21</f>
        <v/>
      </c>
      <c r="G16" s="41">
        <f>G17+G21</f>
        <v/>
      </c>
      <c r="H16" s="43" t="inlineStr"/>
      <c r="I16" s="43" t="n"/>
    </row>
    <row r="17">
      <c r="A17" s="39" t="inlineStr">
        <is>
          <t>2.1</t>
        </is>
      </c>
      <c r="B17" s="40" t="inlineStr">
        <is>
          <t>Tài sản cấp 2A = ∑(2.1.1÷2.1.3)</t>
        </is>
      </c>
      <c r="C17" s="41">
        <f>C18+C19+C20</f>
        <v/>
      </c>
      <c r="D17" s="41" t="n"/>
      <c r="E17" s="42" t="n"/>
      <c r="F17" s="41">
        <f>F18+F19+F20</f>
        <v/>
      </c>
      <c r="G17" s="41">
        <f>G18+G19+G20</f>
        <v/>
      </c>
      <c r="H17" s="43" t="inlineStr"/>
      <c r="I17" s="43" t="n"/>
    </row>
    <row r="18">
      <c r="A18" s="22" t="inlineStr">
        <is>
          <t>2.1.1</t>
        </is>
      </c>
      <c r="B18" s="14" t="inlineStr">
        <is>
          <t xml:space="preserve">  Chứng khoán của Chính phủ, NHTW, tổ chức tài chính quốc tế và tổ chức công lập của Chính phủ đủ điều kiện với hệ số rủi ro tối đa 20%</t>
        </is>
      </c>
      <c r="C18" s="44" t="n">
        <v>0</v>
      </c>
      <c r="D18" s="44" t="n"/>
      <c r="E18" s="24">
        <f>ThamSo!$E$6</f>
        <v/>
      </c>
      <c r="F18" s="45">
        <f>C18*E18</f>
        <v/>
      </c>
      <c r="G18" s="45">
        <f>IF(D18="",C18,D18)*E18</f>
        <v/>
      </c>
      <c r="H18" s="18" t="inlineStr">
        <is>
          <t>Điểm 3a Mục III Phần A</t>
        </is>
      </c>
      <c r="I18" s="18" t="inlineStr">
        <is>
          <t>PL1.A.III.1 (raw dòng 1263); [[src-tt50-2026-nhnn#^pl1-a3]]</t>
        </is>
      </c>
    </row>
    <row r="19">
      <c r="A19" s="22" t="inlineStr">
        <is>
          <t>2.1.2</t>
        </is>
      </c>
      <c r="B19" s="14" t="inlineStr">
        <is>
          <t xml:space="preserve">  Chứng khoán nợ của doanh nghiệp đủ điều kiện xếp hạng từ AA- trở lên</t>
        </is>
      </c>
      <c r="C19" s="44" t="n">
        <v>2400</v>
      </c>
      <c r="D19" s="44" t="n">
        <v>5400</v>
      </c>
      <c r="E19" s="24">
        <f>ThamSo!$E$6</f>
        <v/>
      </c>
      <c r="F19" s="45">
        <f>C19*E19</f>
        <v/>
      </c>
      <c r="G19" s="45">
        <f>IF(D19="",C19,D19)*E19</f>
        <v/>
      </c>
      <c r="H19" s="18" t="inlineStr">
        <is>
          <t>Điểm 3b Mục III Phần A</t>
        </is>
      </c>
      <c r="I19" s="18" t="inlineStr">
        <is>
          <t>PL1.A.III.1 (raw dòng 1263); [[src-tt50-2026-nhnn#^pl1-a3]]</t>
        </is>
      </c>
    </row>
    <row r="20">
      <c r="A20" s="22" t="inlineStr">
        <is>
          <t>2.1.3</t>
        </is>
      </c>
      <c r="B20" s="14" t="inlineStr">
        <is>
          <t xml:space="preserve">  Tài sản trong danh mục HQLA của chi nhánh ở nước ngoài của NHTM</t>
        </is>
      </c>
      <c r="C20" s="44" t="n">
        <v>0</v>
      </c>
      <c r="D20" s="44" t="n"/>
      <c r="E20" s="24">
        <f>ThamSo!$E$6</f>
        <v/>
      </c>
      <c r="F20" s="45">
        <f>C20*E20</f>
        <v/>
      </c>
      <c r="G20" s="45">
        <f>IF(D20="",C20,D20)*E20</f>
        <v/>
      </c>
      <c r="H20" s="18" t="inlineStr">
        <is>
          <t>Điểm 3c Mục III Phần A</t>
        </is>
      </c>
      <c r="I20" s="18" t="inlineStr">
        <is>
          <t>PL1.A.III.1 (raw dòng 1263); [[src-tt50-2026-nhnn#^pl1-a3]]</t>
        </is>
      </c>
    </row>
    <row r="21">
      <c r="A21" s="39" t="inlineStr">
        <is>
          <t>2.2</t>
        </is>
      </c>
      <c r="B21" s="40" t="inlineStr">
        <is>
          <t>Tài sản cấp 2B = ∑(2.2.1÷2.2.5)</t>
        </is>
      </c>
      <c r="C21" s="41">
        <f>C22+C23+C24+C25+C26</f>
        <v/>
      </c>
      <c r="D21" s="41" t="n"/>
      <c r="E21" s="42" t="n"/>
      <c r="F21" s="41">
        <f>F22+F23+F24+F25+F26</f>
        <v/>
      </c>
      <c r="G21" s="41">
        <f>G22+G23+G24+G25+G26</f>
        <v/>
      </c>
      <c r="H21" s="43" t="inlineStr"/>
      <c r="I21" s="43" t="n"/>
    </row>
    <row r="22">
      <c r="A22" s="22" t="inlineStr">
        <is>
          <t>2.2.1</t>
        </is>
      </c>
      <c r="B22" s="14" t="inlineStr">
        <is>
          <t xml:space="preserve">  RMBS đủ điều kiện</t>
        </is>
      </c>
      <c r="C22" s="44" t="n">
        <v>0</v>
      </c>
      <c r="D22" s="44" t="n"/>
      <c r="E22" s="24">
        <f>ThamSo!$E$7</f>
        <v/>
      </c>
      <c r="F22" s="45">
        <f>C22*E22</f>
        <v/>
      </c>
      <c r="G22" s="45">
        <f>IF(D22="",C22,D22)*E22</f>
        <v/>
      </c>
      <c r="H22" s="18" t="inlineStr">
        <is>
          <t>Điểm 3a Mục IV Phần A</t>
        </is>
      </c>
      <c r="I22" s="18" t="inlineStr">
        <is>
          <t>PL1.A.IV.3.a (raw dòng 1299); [[src-tt50-2026-nhnn#^pl1-a4]]</t>
        </is>
      </c>
    </row>
    <row r="23">
      <c r="A23" s="22" t="inlineStr">
        <is>
          <t>2.2.2</t>
        </is>
      </c>
      <c r="B23" s="14" t="inlineStr">
        <is>
          <t xml:space="preserve">  Chứng khoán nợ của doanh nghiệp đủ điều kiện xếp hạng từ BBB- trở lên</t>
        </is>
      </c>
      <c r="C23" s="44" t="n">
        <v>2600</v>
      </c>
      <c r="D23" s="44" t="n"/>
      <c r="E23" s="24">
        <f>ThamSo!$E$8</f>
        <v/>
      </c>
      <c r="F23" s="45">
        <f>C23*E23</f>
        <v/>
      </c>
      <c r="G23" s="45">
        <f>IF(D23="",C23,D23)*E23</f>
        <v/>
      </c>
      <c r="H23" s="18" t="inlineStr">
        <is>
          <t>Điểm 3b Mục IV Phần A</t>
        </is>
      </c>
      <c r="I23" s="18" t="inlineStr">
        <is>
          <t>PL1.A.IV.3.b (raw dòng 1317); [[src-tt50-2026-nhnn#^pl1-a4]]</t>
        </is>
      </c>
    </row>
    <row r="24">
      <c r="A24" s="22" t="inlineStr">
        <is>
          <t>2.2.3</t>
        </is>
      </c>
      <c r="B24" s="14" t="inlineStr">
        <is>
          <t xml:space="preserve">  Chứng khoán của Chính phủ, NHTW, PSE hoặc tổ chức tài chính quốc tế đủ điều kiện, xếp hạng BBB- trở lên nhưng không thuộc cấp 1 hoặc 2A</t>
        </is>
      </c>
      <c r="C24" s="44" t="n">
        <v>0</v>
      </c>
      <c r="D24" s="44" t="n"/>
      <c r="E24" s="24">
        <f>ThamSo!$E$9</f>
        <v/>
      </c>
      <c r="F24" s="45">
        <f>C24*E24</f>
        <v/>
      </c>
      <c r="G24" s="45">
        <f>IF(D24="",C24,D24)*E24</f>
        <v/>
      </c>
      <c r="H24" s="18" t="inlineStr">
        <is>
          <t>Điểm 3c Mục IV Phần A</t>
        </is>
      </c>
      <c r="I24" s="18" t="inlineStr">
        <is>
          <t>PL1.A.IV.3.c (raw dòng 1327); [[src-tt50-2026-nhnn#^pl1-a4]]</t>
        </is>
      </c>
    </row>
    <row r="25">
      <c r="A25" s="22" t="inlineStr">
        <is>
          <t>2.2.4</t>
        </is>
      </c>
      <c r="B25" s="14" t="inlineStr">
        <is>
          <t xml:space="preserve">  Cổ phiếu phổ thông đủ điều kiện</t>
        </is>
      </c>
      <c r="C25" s="44" t="n">
        <v>900</v>
      </c>
      <c r="D25" s="44" t="n"/>
      <c r="E25" s="24">
        <f>ThamSo!$E$10</f>
        <v/>
      </c>
      <c r="F25" s="45">
        <f>C25*E25</f>
        <v/>
      </c>
      <c r="G25" s="45">
        <f>IF(D25="",C25,D25)*E25</f>
        <v/>
      </c>
      <c r="H25" s="18" t="inlineStr">
        <is>
          <t>Điểm 3d Mục IV Phần A</t>
        </is>
      </c>
      <c r="I25" s="18" t="inlineStr">
        <is>
          <t>PL1.A.IV.3.d (raw dòng 1337); [[src-tt50-2026-nhnn#^pl1-a4]]</t>
        </is>
      </c>
    </row>
    <row r="26">
      <c r="A26" s="22" t="inlineStr">
        <is>
          <t>2.2.5</t>
        </is>
      </c>
      <c r="B26" s="14" t="inlineStr">
        <is>
          <t xml:space="preserve">  Tài sản trong danh mục HQLA của chi nhánh ở nước ngoài của NHTM (hệ số theo từng loại)</t>
        </is>
      </c>
      <c r="C26" s="44" t="n">
        <v>0</v>
      </c>
      <c r="D26" s="44" t="n"/>
      <c r="E26" s="46">
        <f>ThamSo!$E$11</f>
        <v/>
      </c>
      <c r="F26" s="45">
        <f>C26*E26</f>
        <v/>
      </c>
      <c r="G26" s="45">
        <f>IF(D26="",C26,D26)*E26</f>
        <v/>
      </c>
      <c r="H26" s="18" t="inlineStr">
        <is>
          <t>Điểm 3đ Mục IV Phần A</t>
        </is>
      </c>
      <c r="I26" s="18" t="inlineStr">
        <is>
          <t>PL1.A.IV.3.đ (raw dòng 1378); chưa có claim trong source note</t>
        </is>
      </c>
    </row>
    <row r="27">
      <c r="A27" s="39" t="inlineStr">
        <is>
          <t>3</t>
        </is>
      </c>
      <c r="B27" s="40" t="inlineStr">
        <is>
          <t>KĐC15%</t>
        </is>
      </c>
      <c r="C27" s="41" t="n"/>
      <c r="D27" s="41" t="n"/>
      <c r="E27" s="39" t="n"/>
      <c r="F27" s="41" t="n"/>
      <c r="G27" s="41">
        <f>MAX(G21-ThamSo!$E$12*(G6+G17),G21-ThamSo!$E$13*G6,0)</f>
        <v/>
      </c>
      <c r="H27" s="40" t="inlineStr">
        <is>
          <t>Điểm 2 Mục I Phần A</t>
        </is>
      </c>
      <c r="I27" s="40" t="inlineStr">
        <is>
          <t>PL1.A.I.2 (raw dòng 1143); [[src-tt50-2026-nhnn#^pl1-a1]]</t>
        </is>
      </c>
    </row>
    <row r="28">
      <c r="A28" s="39" t="inlineStr">
        <is>
          <t>4</t>
        </is>
      </c>
      <c r="B28" s="40" t="inlineStr">
        <is>
          <t>KĐC40%</t>
        </is>
      </c>
      <c r="C28" s="41" t="n"/>
      <c r="D28" s="41" t="n"/>
      <c r="E28" s="39" t="n"/>
      <c r="F28" s="41" t="n"/>
      <c r="G28" s="41">
        <f>MAX(G17+G21-G27-ThamSo!$E$14*G6,0)</f>
        <v/>
      </c>
      <c r="H28" s="40" t="inlineStr">
        <is>
          <t>Điểm 3 Mục I Phần A</t>
        </is>
      </c>
      <c r="I28" s="40" t="inlineStr">
        <is>
          <t>PL1.A.I.3 (raw dòng 1145); [[src-tt50-2026-nhnn#^pl1-a1]]</t>
        </is>
      </c>
    </row>
    <row r="29">
      <c r="A29" s="39" t="inlineStr">
        <is>
          <t>5</t>
        </is>
      </c>
      <c r="B29" s="40" t="inlineStr">
        <is>
          <t>Hạn mức = (5.1) + (5.2)</t>
        </is>
      </c>
      <c r="C29" s="41" t="n"/>
      <c r="D29" s="41" t="n"/>
      <c r="E29" s="39" t="n"/>
      <c r="F29" s="41" t="n"/>
      <c r="G29" s="41">
        <f>G30+G31</f>
        <v/>
      </c>
      <c r="H29" s="40" t="inlineStr"/>
      <c r="I29" s="40" t="inlineStr"/>
    </row>
    <row r="30">
      <c r="A30" s="22" t="inlineStr">
        <is>
          <t>5.1</t>
        </is>
      </c>
      <c r="B30" s="14" t="inlineStr">
        <is>
          <t>Hạn mức chưa sử dụng được thiết lập trong giao dịch với Ngân hàng Nhà nước (bảo đảm bằng HQLA cấp 1)</t>
        </is>
      </c>
      <c r="C30" s="44" t="n">
        <v>0</v>
      </c>
      <c r="D30" s="45" t="n"/>
      <c r="E30" s="22" t="n"/>
      <c r="F30" s="45" t="n"/>
      <c r="G30" s="45">
        <f>C30</f>
        <v/>
      </c>
      <c r="H30" s="18" t="inlineStr">
        <is>
          <t>Điểm 4 Mục I Phần A</t>
        </is>
      </c>
      <c r="I30" s="18" t="inlineStr">
        <is>
          <t>PL1.A.I.4 (raw dòng 1185); [[src-tt50-2026-nhnn#^pl1-a1-4]]</t>
        </is>
      </c>
    </row>
    <row r="31">
      <c r="A31" s="22" t="inlineStr">
        <is>
          <t>5.2</t>
        </is>
      </c>
      <c r="B31" s="14" t="inlineStr">
        <is>
          <t>Hạn mức chưa sử dụng của ngân hàng mẹ (chỉ chi nhánh NHNNg) = (5.2.1) + (5.2.2), sau trần</t>
        </is>
      </c>
      <c r="C31" s="45" t="n"/>
      <c r="D31" s="45" t="n"/>
      <c r="E31" s="22" t="n"/>
      <c r="F31" s="45" t="n"/>
      <c r="G31" s="45">
        <f>MIN(G32+G33,ThamSo!$E$15*KetQua!$C$29)</f>
        <v/>
      </c>
      <c r="H31" s="18" t="inlineStr">
        <is>
          <t>Điểm 5 Mục I Phần A</t>
        </is>
      </c>
      <c r="I31" s="18" t="inlineStr">
        <is>
          <t>PL1.A.I.5 (raw dòng 1187); [[src-tt50-2026-nhnn#^pl1-a1-4]]</t>
        </is>
      </c>
    </row>
    <row r="32">
      <c r="A32" s="22" t="inlineStr">
        <is>
          <t>5.2.1</t>
        </is>
      </c>
      <c r="B32" s="14" t="inlineStr">
        <is>
          <t xml:space="preserve">  Hạn mức cam kết trên cơ sở đối ứng bởi một danh mục HQLA cấp 1</t>
        </is>
      </c>
      <c r="C32" s="44" t="n">
        <v>0</v>
      </c>
      <c r="D32" s="45" t="n"/>
      <c r="E32" s="22" t="n"/>
      <c r="F32" s="45" t="n"/>
      <c r="G32" s="45">
        <f>C32</f>
        <v/>
      </c>
      <c r="H32" s="18" t="inlineStr">
        <is>
          <t>Điểm 5a Mục I Phần A</t>
        </is>
      </c>
      <c r="I32" s="18" t="inlineStr"/>
    </row>
    <row r="33">
      <c r="A33" s="22" t="inlineStr">
        <is>
          <t>5.2.2</t>
        </is>
      </c>
      <c r="B33" s="14" t="inlineStr">
        <is>
          <t xml:space="preserve">  Hạn mức cam kết không hủy ngang không được đối ứng bởi danh mục HQLA cấp 1 (trần 40%)</t>
        </is>
      </c>
      <c r="C33" s="44" t="n">
        <v>0</v>
      </c>
      <c r="D33" s="45" t="n"/>
      <c r="E33" s="22" t="n"/>
      <c r="F33" s="45" t="n"/>
      <c r="G33" s="45">
        <f>MIN(C33,ThamSo!$E$16*KetQua!$C$29)</f>
        <v/>
      </c>
      <c r="H33" s="18" t="inlineStr">
        <is>
          <t>Điểm 5b Mục I Phần A</t>
        </is>
      </c>
      <c r="I33" s="18" t="inlineStr">
        <is>
          <t>PL1.A.I.5.b (raw dòng 1199); [[src-tt50-2026-nhnn#^pl1-a1-4]]</t>
        </is>
      </c>
    </row>
    <row r="34" ht="30" customHeight="1">
      <c r="A34" s="47" t="inlineStr">
        <is>
          <t>Giá trị HQLA đủ điều kiện = Level 1 + Level 2A + Level 2B + Hạn mức (Mục 5) – KĐC15% (Mục 3) – KĐC40% (Mục 4)</t>
        </is>
      </c>
      <c r="B34" s="48" t="n"/>
      <c r="C34" s="48" t="n"/>
      <c r="D34" s="48" t="n"/>
      <c r="E34" s="48" t="n"/>
      <c r="F34" s="48" t="n"/>
      <c r="G34" s="49">
        <f>F6+F17+F21+G29-G27-G28</f>
        <v/>
      </c>
      <c r="H34" s="48" t="n"/>
      <c r="I34" s="50" t="inlineStr">
        <is>
          <t>PL1.A.I.1 (raw dòng 1141); [[src-tt50-2026-nhnn#^pl1-a1]]</t>
        </is>
      </c>
    </row>
  </sheetData>
  <mergeCells count="2">
    <mergeCell ref="A34:F34"/>
    <mergeCell ref="A2:I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58" customWidth="1" min="2" max="2"/>
    <col width="12" customWidth="1" min="3" max="3"/>
    <col width="12" customWidth="1" min="4" max="4"/>
    <col width="12" customWidth="1" min="5" max="5"/>
    <col width="12" customWidth="1" min="6" max="6"/>
    <col width="13" customWidth="1" min="7" max="7"/>
    <col width="10" customWidth="1" min="8" max="8"/>
    <col width="15" customWidth="1" min="9" max="9"/>
    <col width="26" customWidth="1" min="10" max="10"/>
    <col width="30" customWidth="1" min="11" max="11"/>
  </cols>
  <sheetData>
    <row r="1">
      <c r="A1" s="9" t="inlineStr">
        <is>
          <t>DÒNG TIỀN RA — TT50 PL1 Bảng 6</t>
        </is>
      </c>
      <c r="B1" s="10" t="n"/>
      <c r="C1" s="10" t="n"/>
      <c r="D1" s="10" t="n"/>
      <c r="E1" s="10" t="n"/>
      <c r="F1" s="10" t="n"/>
      <c r="G1" s="10" t="n"/>
      <c r="H1" s="10" t="n"/>
      <c r="I1" s="10" t="n"/>
      <c r="J1" s="10" t="n"/>
      <c r="K1" s="10" t="n"/>
    </row>
    <row r="2" ht="28" customHeight="1">
      <c r="A2" s="8" t="inlineStr">
        <is>
          <t>Đơn vị: tỷ đồng. Ô nền vàng chữ xanh = nhập liệu. Số đang có là SỐ LIỆU MINH HOẠ, thay bằng số liệu thật. Cột (1)–(4): số dư đủ điều kiện phân theo thời gian đến hạn theo hợp đồng/dự kiến.</t>
        </is>
      </c>
      <c r="B2" s="10" t="n"/>
      <c r="C2" s="10" t="n"/>
      <c r="D2" s="10" t="n"/>
      <c r="E2" s="10" t="n"/>
      <c r="F2" s="10" t="n"/>
      <c r="G2" s="10" t="n"/>
      <c r="H2" s="10" t="n"/>
      <c r="I2" s="10" t="n"/>
      <c r="J2" s="10" t="n"/>
      <c r="K2" s="10" t="n"/>
    </row>
    <row r="3">
      <c r="A3" s="10" t="n"/>
      <c r="B3" s="10" t="n"/>
      <c r="C3" s="10" t="n"/>
      <c r="D3" s="10" t="n"/>
      <c r="E3" s="10" t="n"/>
      <c r="F3" s="10" t="n"/>
      <c r="G3" s="10" t="n"/>
      <c r="H3" s="10" t="n"/>
      <c r="I3" s="10" t="n"/>
      <c r="J3" s="10" t="n"/>
      <c r="K3" s="10" t="n"/>
    </row>
    <row r="4" ht="45" customHeight="1">
      <c r="A4" s="30" t="inlineStr">
        <is>
          <t>Mục</t>
        </is>
      </c>
      <c r="B4" s="30" t="inlineStr">
        <is>
          <t>Dòng tiền ra</t>
        </is>
      </c>
      <c r="C4" s="30" t="inlineStr">
        <is>
          <t>Ngày tiếp theo</t>
        </is>
      </c>
      <c r="D4" s="30" t="inlineStr">
        <is>
          <t>Từ ngày 2 đến ngày 7</t>
        </is>
      </c>
      <c r="E4" s="30" t="inlineStr">
        <is>
          <t>Từ ngày 8 đến ngày 14</t>
        </is>
      </c>
      <c r="F4" s="30" t="inlineStr">
        <is>
          <t>Từ ngày 15 đến ngày 30</t>
        </is>
      </c>
      <c r="G4" s="30" t="inlineStr">
        <is>
          <t>Tổng</t>
        </is>
      </c>
      <c r="H4" s="30" t="inlineStr">
        <is>
          <t>Hệ số rút tiền</t>
        </is>
      </c>
      <c r="I4" s="30" t="inlineStr">
        <is>
          <t>Giá trị dòng tiền ra theo mức độ rủi ro</t>
        </is>
      </c>
      <c r="J4" s="30" t="inlineStr">
        <is>
          <t>Nội dung hướng dẫn tại PL1</t>
        </is>
      </c>
      <c r="K4" s="30" t="inlineStr">
        <is>
          <t>Căn cứ / citation</t>
        </is>
      </c>
    </row>
    <row r="5">
      <c r="A5" s="38" t="inlineStr"/>
      <c r="B5" s="38" t="inlineStr"/>
      <c r="C5" s="38" t="inlineStr">
        <is>
          <t>(1)</t>
        </is>
      </c>
      <c r="D5" s="38" t="inlineStr">
        <is>
          <t>(2)</t>
        </is>
      </c>
      <c r="E5" s="38" t="inlineStr">
        <is>
          <t>(3)</t>
        </is>
      </c>
      <c r="F5" s="38" t="inlineStr">
        <is>
          <t>(4)</t>
        </is>
      </c>
      <c r="G5" s="38" t="inlineStr">
        <is>
          <t>(5)=∑[(1)÷(4)]</t>
        </is>
      </c>
      <c r="H5" s="38" t="inlineStr">
        <is>
          <t>(6)</t>
        </is>
      </c>
      <c r="I5" s="38" t="inlineStr">
        <is>
          <t>(7)=(5)x(6)</t>
        </is>
      </c>
      <c r="J5" s="38" t="inlineStr"/>
      <c r="K5" s="38" t="inlineStr"/>
    </row>
    <row r="6">
      <c r="A6" s="39" t="inlineStr">
        <is>
          <t>1</t>
        </is>
      </c>
      <c r="B6" s="40" t="inlineStr">
        <is>
          <t>Tiền gửi bán lẻ</t>
        </is>
      </c>
      <c r="C6" s="41">
        <f>C7+C8</f>
        <v/>
      </c>
      <c r="D6" s="41">
        <f>D7+D8</f>
        <v/>
      </c>
      <c r="E6" s="41">
        <f>E7+E8</f>
        <v/>
      </c>
      <c r="F6" s="41">
        <f>F7+F8</f>
        <v/>
      </c>
      <c r="G6" s="41">
        <f>G7+G8</f>
        <v/>
      </c>
      <c r="H6" s="42" t="n"/>
      <c r="I6" s="41">
        <f>I7+I8</f>
        <v/>
      </c>
      <c r="J6" s="43" t="inlineStr"/>
      <c r="K6" s="43" t="n"/>
    </row>
    <row r="7">
      <c r="A7" s="22" t="inlineStr">
        <is>
          <t>1.1</t>
        </is>
      </c>
      <c r="B7" s="14" t="inlineStr">
        <is>
          <t>Tiền gửi ổn định</t>
        </is>
      </c>
      <c r="C7" s="44" t="n">
        <v>1200</v>
      </c>
      <c r="D7" s="44" t="n">
        <v>2600</v>
      </c>
      <c r="E7" s="44" t="n">
        <v>3100</v>
      </c>
      <c r="F7" s="44" t="n">
        <v>9100</v>
      </c>
      <c r="G7" s="45">
        <f>SUM(C7:F7)</f>
        <v/>
      </c>
      <c r="H7" s="24">
        <f>ThamSo!$E$17</f>
        <v/>
      </c>
      <c r="I7" s="45">
        <f>G7*H7</f>
        <v/>
      </c>
      <c r="J7" s="18" t="inlineStr">
        <is>
          <t>Khoản 2 Mục II Phần B</t>
        </is>
      </c>
      <c r="K7" s="18" t="inlineStr">
        <is>
          <t>PL1.B.II.2.2 (raw dòng 1460); [[src-tt50-2026-nhnn#^pl1-b2]]</t>
        </is>
      </c>
    </row>
    <row r="8">
      <c r="A8" s="22" t="inlineStr">
        <is>
          <t>1.2</t>
        </is>
      </c>
      <c r="B8" s="14" t="inlineStr">
        <is>
          <t>Tiền gửi kém ổn định</t>
        </is>
      </c>
      <c r="C8" s="44" t="n">
        <v>2400</v>
      </c>
      <c r="D8" s="44" t="n">
        <v>4800</v>
      </c>
      <c r="E8" s="44" t="n">
        <v>5600</v>
      </c>
      <c r="F8" s="44" t="n">
        <v>15200</v>
      </c>
      <c r="G8" s="45">
        <f>SUM(C8:F8)</f>
        <v/>
      </c>
      <c r="H8" s="24">
        <f>ThamSo!$E$18</f>
        <v/>
      </c>
      <c r="I8" s="45">
        <f>G8*H8</f>
        <v/>
      </c>
      <c r="J8" s="18" t="inlineStr">
        <is>
          <t>Khoản 3 Mục II Phần B</t>
        </is>
      </c>
      <c r="K8" s="18" t="inlineStr">
        <is>
          <t>PL1.B.II.3.2 (raw dòng 1466); [[src-tt50-2026-nhnn#^pl1-b2]]</t>
        </is>
      </c>
    </row>
    <row r="9">
      <c r="A9" s="39" t="inlineStr">
        <is>
          <t>2</t>
        </is>
      </c>
      <c r="B9" s="40" t="inlineStr">
        <is>
          <t>Nguồn vốn bán buôn không có bảo đảm</t>
        </is>
      </c>
      <c r="C9" s="41">
        <f>C10+C13+C14+C15</f>
        <v/>
      </c>
      <c r="D9" s="41">
        <f>D10+D13+D14+D15</f>
        <v/>
      </c>
      <c r="E9" s="41">
        <f>E10+E13+E14+E15</f>
        <v/>
      </c>
      <c r="F9" s="41">
        <f>F10+F13+F14+F15</f>
        <v/>
      </c>
      <c r="G9" s="41">
        <f>G10+G13+G14+G15</f>
        <v/>
      </c>
      <c r="H9" s="42" t="n"/>
      <c r="I9" s="41">
        <f>I10+I13+I14+I15</f>
        <v/>
      </c>
      <c r="J9" s="43" t="inlineStr"/>
      <c r="K9" s="43" t="n"/>
    </row>
    <row r="10">
      <c r="A10" s="39" t="inlineStr">
        <is>
          <t>2.1</t>
        </is>
      </c>
      <c r="B10" s="40" t="inlineStr">
        <is>
          <t>Tiền gửi từ khách hàng doanh nghiệp nhỏ và vừa đủ điều kiện</t>
        </is>
      </c>
      <c r="C10" s="41">
        <f>C11+C12</f>
        <v/>
      </c>
      <c r="D10" s="41">
        <f>D11+D12</f>
        <v/>
      </c>
      <c r="E10" s="41">
        <f>E11+E12</f>
        <v/>
      </c>
      <c r="F10" s="41">
        <f>F11+F12</f>
        <v/>
      </c>
      <c r="G10" s="41">
        <f>G11+G12</f>
        <v/>
      </c>
      <c r="H10" s="42" t="n"/>
      <c r="I10" s="41">
        <f>I11+I12</f>
        <v/>
      </c>
      <c r="J10" s="43" t="inlineStr"/>
      <c r="K10" s="43" t="n"/>
    </row>
    <row r="11">
      <c r="A11" s="22" t="inlineStr">
        <is>
          <t>2.1.1</t>
        </is>
      </c>
      <c r="B11" s="14" t="inlineStr">
        <is>
          <t>Tiền gửi ổn định</t>
        </is>
      </c>
      <c r="C11" s="44" t="n">
        <v>150</v>
      </c>
      <c r="D11" s="44" t="n">
        <v>300</v>
      </c>
      <c r="E11" s="44" t="n">
        <v>350</v>
      </c>
      <c r="F11" s="44" t="n">
        <v>900</v>
      </c>
      <c r="G11" s="45">
        <f>SUM(C11:F11)</f>
        <v/>
      </c>
      <c r="H11" s="24">
        <f>ThamSo!$E$19</f>
        <v/>
      </c>
      <c r="I11" s="45">
        <f>G11*H11</f>
        <v/>
      </c>
      <c r="J11" s="18" t="inlineStr">
        <is>
          <t>Khoản 2.2 Mục III Phần B và khoản 2 Mục II Phần B</t>
        </is>
      </c>
      <c r="K11" s="18" t="inlineStr">
        <is>
          <t>PL1.B.III.2.2.a(iii) (raw dòng 1502); [[src-tt50-2026-nhnn#^pl1-b3]]</t>
        </is>
      </c>
    </row>
    <row r="12">
      <c r="A12" s="22" t="inlineStr">
        <is>
          <t>2.1.2</t>
        </is>
      </c>
      <c r="B12" s="14" t="inlineStr">
        <is>
          <t>Tiền gửi kém ổn định</t>
        </is>
      </c>
      <c r="C12" s="44" t="n">
        <v>300</v>
      </c>
      <c r="D12" s="44" t="n">
        <v>600</v>
      </c>
      <c r="E12" s="44" t="n">
        <v>700</v>
      </c>
      <c r="F12" s="44" t="n">
        <v>1800</v>
      </c>
      <c r="G12" s="45">
        <f>SUM(C12:F12)</f>
        <v/>
      </c>
      <c r="H12" s="24">
        <f>ThamSo!$E$20</f>
        <v/>
      </c>
      <c r="I12" s="45">
        <f>G12*H12</f>
        <v/>
      </c>
      <c r="J12" s="18" t="inlineStr">
        <is>
          <t>Khoản 2.2 Mục III Phần B và khoản 3 Mục II Phần B</t>
        </is>
      </c>
      <c r="K12" s="18" t="inlineStr">
        <is>
          <t>PL1.B.III.2.2.a(iii) (raw dòng 1502); [[src-tt50-2026-nhnn#^pl1-b3]]</t>
        </is>
      </c>
    </row>
    <row r="13">
      <c r="A13" s="22" t="inlineStr">
        <is>
          <t>2.2</t>
        </is>
      </c>
      <c r="B13" s="14" t="inlineStr">
        <is>
          <t>Tiền gửi hoạt động</t>
        </is>
      </c>
      <c r="C13" s="44" t="n">
        <v>1500</v>
      </c>
      <c r="D13" s="44" t="n">
        <v>0</v>
      </c>
      <c r="E13" s="44" t="n">
        <v>0</v>
      </c>
      <c r="F13" s="44" t="n">
        <v>0</v>
      </c>
      <c r="G13" s="45">
        <f>SUM(C13:F13)</f>
        <v/>
      </c>
      <c r="H13" s="24">
        <f>ThamSo!$E$21</f>
        <v/>
      </c>
      <c r="I13" s="45">
        <f>G13*H13</f>
        <v/>
      </c>
      <c r="J13" s="18" t="inlineStr">
        <is>
          <t>Khoản 2.3 Mục III Phần B</t>
        </is>
      </c>
      <c r="K13" s="18" t="inlineStr">
        <is>
          <t>PL1.B.III.2.3.a(ii) (raw dòng 1526); [[src-tt50-2026-nhnn#^pl1-b3]]</t>
        </is>
      </c>
    </row>
    <row r="14">
      <c r="A14" s="22" t="inlineStr">
        <is>
          <t>2.3</t>
        </is>
      </c>
      <c r="B14" s="14" t="inlineStr">
        <is>
          <t>Nguồn vốn từ doanh nghiệp và Chính phủ, ngân hàng trung ương, tổ chức công lập của Chính phủ và tổ chức tài chính quốc tế</t>
        </is>
      </c>
      <c r="C14" s="44" t="n">
        <v>5000</v>
      </c>
      <c r="D14" s="44" t="n">
        <v>6000</v>
      </c>
      <c r="E14" s="44" t="n">
        <v>7000</v>
      </c>
      <c r="F14" s="44" t="n">
        <v>15000</v>
      </c>
      <c r="G14" s="45">
        <f>SUM(C14:F14)</f>
        <v/>
      </c>
      <c r="H14" s="24">
        <f>ThamSo!$E$22</f>
        <v/>
      </c>
      <c r="I14" s="45">
        <f>G14*H14</f>
        <v/>
      </c>
      <c r="J14" s="18" t="inlineStr">
        <is>
          <t>Khoản 2.4 Mục III Phần B</t>
        </is>
      </c>
      <c r="K14" s="18" t="inlineStr">
        <is>
          <t>PL1.B.III.2.4.b (raw dòng 1604); [[src-tt50-2026-nhnn#^pl1-b3]]</t>
        </is>
      </c>
    </row>
    <row r="15">
      <c r="A15" s="22" t="inlineStr">
        <is>
          <t>2.4</t>
        </is>
      </c>
      <c r="B15" s="14" t="inlineStr">
        <is>
          <t>Nguồn vốn không có bảo đảm khác</t>
        </is>
      </c>
      <c r="C15" s="44" t="n">
        <v>6000</v>
      </c>
      <c r="D15" s="44" t="n">
        <v>7000</v>
      </c>
      <c r="E15" s="44" t="n">
        <v>5000</v>
      </c>
      <c r="F15" s="44" t="n">
        <v>8000</v>
      </c>
      <c r="G15" s="45">
        <f>SUM(C15:F15)</f>
        <v/>
      </c>
      <c r="H15" s="24">
        <f>ThamSo!$E$23</f>
        <v/>
      </c>
      <c r="I15" s="45">
        <f>G15*H15</f>
        <v/>
      </c>
      <c r="J15" s="18" t="inlineStr">
        <is>
          <t>Khoản 2.5 Mục III Phần B</t>
        </is>
      </c>
      <c r="K15" s="18" t="inlineStr">
        <is>
          <t>PL1.B.III.2.5.b (raw dòng 1610); [[src-tt50-2026-nhnn#^pl1-b3]]</t>
        </is>
      </c>
    </row>
    <row r="16">
      <c r="A16" s="39" t="inlineStr">
        <is>
          <t>3</t>
        </is>
      </c>
      <c r="B16" s="40" t="inlineStr">
        <is>
          <t>Nguồn vốn bán buôn có bảo đảm</t>
        </is>
      </c>
      <c r="C16" s="41">
        <f>C17+C18+C19+C20+C21+C22</f>
        <v/>
      </c>
      <c r="D16" s="41">
        <f>D17+D18+D19+D20+D21+D22</f>
        <v/>
      </c>
      <c r="E16" s="41">
        <f>E17+E18+E19+E20+E21+E22</f>
        <v/>
      </c>
      <c r="F16" s="41">
        <f>F17+F18+F19+F20+F21+F22</f>
        <v/>
      </c>
      <c r="G16" s="41">
        <f>G17+G18+G19+G20+G21+G22</f>
        <v/>
      </c>
      <c r="H16" s="42" t="n"/>
      <c r="I16" s="41">
        <f>I17+I18+I19+I20+I21+I22</f>
        <v/>
      </c>
      <c r="J16" s="43" t="inlineStr"/>
      <c r="K16" s="43" t="n"/>
    </row>
    <row r="17">
      <c r="A17" s="22" t="inlineStr">
        <is>
          <t>3.1</t>
        </is>
      </c>
      <c r="B17" s="14" t="inlineStr">
        <is>
          <t>Nguồn vốn được đảm bảo bằng HQLA cấp 1 hoặc nguồn vốn được bảo đảm trong giao dịch với Ngân hàng Nhà nước</t>
        </is>
      </c>
      <c r="C17" s="44" t="n">
        <v>2000</v>
      </c>
      <c r="D17" s="44" t="n">
        <v>1500</v>
      </c>
      <c r="E17" s="44" t="n">
        <v>0</v>
      </c>
      <c r="F17" s="44" t="n">
        <v>0</v>
      </c>
      <c r="G17" s="45">
        <f>SUM(C17:F17)</f>
        <v/>
      </c>
      <c r="H17" s="24">
        <f>ThamSo!$E$24</f>
        <v/>
      </c>
      <c r="I17" s="45">
        <f>G17*H17</f>
        <v/>
      </c>
      <c r="J17" s="18" t="inlineStr">
        <is>
          <t>Khoản 3.2.2a Mục III Phần B</t>
        </is>
      </c>
      <c r="K17" s="18" t="inlineStr">
        <is>
          <t>PL1.B.III.3.2.2.a (raw dòng 1636); [[src-tt50-2026-nhnn#^pl1-b3-3]]</t>
        </is>
      </c>
    </row>
    <row r="18">
      <c r="A18" s="22" t="inlineStr">
        <is>
          <t>3.2</t>
        </is>
      </c>
      <c r="B18" s="14" t="inlineStr">
        <is>
          <t>Nguồn vốn được đảm bảo bằng HQLA cấp 2A</t>
        </is>
      </c>
      <c r="C18" s="44" t="n">
        <v>0</v>
      </c>
      <c r="D18" s="44" t="n">
        <v>500</v>
      </c>
      <c r="E18" s="44" t="n">
        <v>0</v>
      </c>
      <c r="F18" s="44" t="n">
        <v>0</v>
      </c>
      <c r="G18" s="45">
        <f>SUM(C18:F18)</f>
        <v/>
      </c>
      <c r="H18" s="24">
        <f>ThamSo!$E$25</f>
        <v/>
      </c>
      <c r="I18" s="45">
        <f>G18*H18</f>
        <v/>
      </c>
      <c r="J18" s="18" t="inlineStr">
        <is>
          <t>Khoản 3.2.2b Mục III Phần B</t>
        </is>
      </c>
      <c r="K18" s="18" t="inlineStr">
        <is>
          <t>PL1.B.III.3.2.2.b (raw dòng 1637); [[src-tt50-2026-nhnn#^pl1-b3-3]]</t>
        </is>
      </c>
    </row>
    <row r="19">
      <c r="A19" s="22" t="inlineStr">
        <is>
          <t>3.3</t>
        </is>
      </c>
      <c r="B19" s="14" t="inlineStr">
        <is>
          <t>Nguồn vốn được đảm bảo bằng tài sản tài chính khác trong giao dịch với Chính phủ, Kho bạc Nhà nước…</t>
        </is>
      </c>
      <c r="C19" s="44" t="n">
        <v>0</v>
      </c>
      <c r="D19" s="44" t="n">
        <v>0</v>
      </c>
      <c r="E19" s="44" t="n">
        <v>0</v>
      </c>
      <c r="F19" s="44" t="n">
        <v>0</v>
      </c>
      <c r="G19" s="45">
        <f>SUM(C19:F19)</f>
        <v/>
      </c>
      <c r="H19" s="24">
        <f>ThamSo!$E$26</f>
        <v/>
      </c>
      <c r="I19" s="45">
        <f>G19*H19</f>
        <v/>
      </c>
      <c r="J19" s="18" t="inlineStr">
        <is>
          <t>Khoản 3.2.2c Mục III Phần B</t>
        </is>
      </c>
      <c r="K19" s="18" t="inlineStr">
        <is>
          <t>PL1.B.III.3.2.2.c (raw dòng 1638); [[src-tt50-2026-nhnn#^pl1-b3-3]]</t>
        </is>
      </c>
    </row>
    <row r="20">
      <c r="A20" s="22" t="inlineStr">
        <is>
          <t>3.4</t>
        </is>
      </c>
      <c r="B20" s="14" t="inlineStr">
        <is>
          <t>Nguồn vốn được bảo đảm bằng chứng khoán đảm bảo bằng thế chấp nhà ở (RMBS) đủ điều kiện thuộc cấp 2B</t>
        </is>
      </c>
      <c r="C20" s="44" t="n">
        <v>0</v>
      </c>
      <c r="D20" s="44" t="n">
        <v>0</v>
      </c>
      <c r="E20" s="44" t="n">
        <v>0</v>
      </c>
      <c r="F20" s="44" t="n">
        <v>0</v>
      </c>
      <c r="G20" s="45">
        <f>SUM(C20:F20)</f>
        <v/>
      </c>
      <c r="H20" s="24">
        <f>ThamSo!$E$27</f>
        <v/>
      </c>
      <c r="I20" s="45">
        <f>G20*H20</f>
        <v/>
      </c>
      <c r="J20" s="18" t="inlineStr">
        <is>
          <t>Khoản 3.2.2d Mục III Phần B</t>
        </is>
      </c>
      <c r="K20" s="18" t="inlineStr">
        <is>
          <t>PL1.B.III.3.2.2.d (raw dòng 1639); [[src-tt50-2026-nhnn#^pl1-b3-3]]</t>
        </is>
      </c>
    </row>
    <row r="21">
      <c r="A21" s="22" t="inlineStr">
        <is>
          <t>3.5</t>
        </is>
      </c>
      <c r="B21" s="14" t="inlineStr">
        <is>
          <t>Nguồn vốn được bảo đảm bằng các HQLA cấp 2B khác</t>
        </is>
      </c>
      <c r="C21" s="44" t="n">
        <v>0</v>
      </c>
      <c r="D21" s="44" t="n">
        <v>0</v>
      </c>
      <c r="E21" s="44" t="n">
        <v>0</v>
      </c>
      <c r="F21" s="44" t="n">
        <v>0</v>
      </c>
      <c r="G21" s="45">
        <f>SUM(C21:F21)</f>
        <v/>
      </c>
      <c r="H21" s="24">
        <f>ThamSo!$E$28</f>
        <v/>
      </c>
      <c r="I21" s="45">
        <f>G21*H21</f>
        <v/>
      </c>
      <c r="J21" s="18" t="inlineStr">
        <is>
          <t>Khoản 3.2.2đ Mục III Phần B</t>
        </is>
      </c>
      <c r="K21" s="18" t="inlineStr">
        <is>
          <t>PL1.B.III.3.2.2.đ (raw dòng 1640); [[src-tt50-2026-nhnn#^pl1-b3-3]]</t>
        </is>
      </c>
    </row>
    <row r="22">
      <c r="A22" s="22" t="inlineStr">
        <is>
          <t>3.6</t>
        </is>
      </c>
      <c r="B22" s="14" t="inlineStr">
        <is>
          <t>Nguồn vốn được đảm bảo bằng các tài sản tài chính khác</t>
        </is>
      </c>
      <c r="C22" s="44" t="n">
        <v>0</v>
      </c>
      <c r="D22" s="44" t="n">
        <v>0</v>
      </c>
      <c r="E22" s="44" t="n">
        <v>200</v>
      </c>
      <c r="F22" s="44" t="n">
        <v>0</v>
      </c>
      <c r="G22" s="45">
        <f>SUM(C22:F22)</f>
        <v/>
      </c>
      <c r="H22" s="24">
        <f>ThamSo!$E$29</f>
        <v/>
      </c>
      <c r="I22" s="45">
        <f>G22*H22</f>
        <v/>
      </c>
      <c r="J22" s="18" t="inlineStr">
        <is>
          <t>Khoản 3.2.2e Mục III Phần B</t>
        </is>
      </c>
      <c r="K22" s="18" t="inlineStr">
        <is>
          <t>PL1.B.III.3.2.2.e (raw dòng 1641); [[src-tt50-2026-nhnn#^pl1-b3-3]]</t>
        </is>
      </c>
    </row>
    <row r="23">
      <c r="A23" s="39" t="inlineStr">
        <is>
          <t>4</t>
        </is>
      </c>
      <c r="B23" s="40" t="inlineStr">
        <is>
          <t>Yêu cầu bổ sung</t>
        </is>
      </c>
      <c r="C23" s="41">
        <f>C24+C25+C26+C27+C28</f>
        <v/>
      </c>
      <c r="D23" s="41">
        <f>D24+D25+D26+D27+D28</f>
        <v/>
      </c>
      <c r="E23" s="41">
        <f>E24+E25+E26+E27+E28</f>
        <v/>
      </c>
      <c r="F23" s="41">
        <f>F24+F25+F26+F27+F28</f>
        <v/>
      </c>
      <c r="G23" s="41">
        <f>G24+G25+G26+G27+G28</f>
        <v/>
      </c>
      <c r="H23" s="42" t="n"/>
      <c r="I23" s="41">
        <f>I24+I25+I26+I27+I28</f>
        <v/>
      </c>
      <c r="J23" s="43" t="inlineStr"/>
      <c r="K23" s="43" t="n"/>
    </row>
    <row r="24">
      <c r="A24" s="22" t="inlineStr">
        <is>
          <t>4.1</t>
        </is>
      </c>
      <c r="B24" s="14" t="inlineStr">
        <is>
          <t>Nhu cầu thanh khoản do khả năng thay đổi giá trị tài sản bảo đảm</t>
        </is>
      </c>
      <c r="C24" s="44" t="n">
        <v>0</v>
      </c>
      <c r="D24" s="44" t="n">
        <v>0</v>
      </c>
      <c r="E24" s="44" t="n">
        <v>0</v>
      </c>
      <c r="F24" s="44" t="n">
        <v>400</v>
      </c>
      <c r="G24" s="45">
        <f>SUM(C24:F24)</f>
        <v/>
      </c>
      <c r="H24" s="24">
        <f>ThamSo!$E$30</f>
        <v/>
      </c>
      <c r="I24" s="45">
        <f>G24*H24</f>
        <v/>
      </c>
      <c r="J24" s="18" t="inlineStr">
        <is>
          <t>Khoản 2.2 Mục IV Phần B</t>
        </is>
      </c>
      <c r="K24" s="18" t="inlineStr">
        <is>
          <t>PL1.B.IV.2.2.b (raw dòng 1685); [[src-tt50-2026-nhnn#^pl1-b4]]</t>
        </is>
      </c>
    </row>
    <row r="25">
      <c r="A25" s="22" t="inlineStr">
        <is>
          <t>4.2</t>
        </is>
      </c>
      <c r="B25" s="14" t="inlineStr">
        <is>
          <t>Dòng tiền ra bổ sung khi bị hạ bậc xếp hạng tín nhiệm</t>
        </is>
      </c>
      <c r="C25" s="44" t="n">
        <v>0</v>
      </c>
      <c r="D25" s="44" t="n">
        <v>0</v>
      </c>
      <c r="E25" s="44" t="n">
        <v>0</v>
      </c>
      <c r="F25" s="44" t="n">
        <v>0</v>
      </c>
      <c r="G25" s="45">
        <f>SUM(C25:F25)</f>
        <v/>
      </c>
      <c r="H25" s="24">
        <f>ThamSo!$E$31</f>
        <v/>
      </c>
      <c r="I25" s="45">
        <f>G25*H25</f>
        <v/>
      </c>
      <c r="J25" s="18" t="inlineStr">
        <is>
          <t>Khoản 2.1 Mục IV Phần B</t>
        </is>
      </c>
      <c r="K25" s="18" t="inlineStr">
        <is>
          <t>PL1.B.IV.2.1.b (raw dòng 1679); [[src-tt50-2026-nhnn#^pl1-b4]]</t>
        </is>
      </c>
    </row>
    <row r="26">
      <c r="A26" s="22" t="inlineStr">
        <is>
          <t>4.3</t>
        </is>
      </c>
      <c r="B26" s="14" t="inlineStr">
        <is>
          <t>Dòng tiền ra bổ sung do bên đối tác có quyền yêu cầu thu hồi theo thỏa thuận</t>
        </is>
      </c>
      <c r="C26" s="44" t="n">
        <v>0</v>
      </c>
      <c r="D26" s="44" t="n">
        <v>0</v>
      </c>
      <c r="E26" s="44" t="n">
        <v>0</v>
      </c>
      <c r="F26" s="44" t="n">
        <v>0</v>
      </c>
      <c r="G26" s="45">
        <f>SUM(C26:F26)</f>
        <v/>
      </c>
      <c r="H26" s="24">
        <f>ThamSo!$E$32</f>
        <v/>
      </c>
      <c r="I26" s="45">
        <f>G26*H26</f>
        <v/>
      </c>
      <c r="J26" s="18" t="inlineStr">
        <is>
          <t>Khoản 2.3 Mục IV Phần B</t>
        </is>
      </c>
      <c r="K26" s="18" t="inlineStr">
        <is>
          <t>PL1.B.IV.2.3.b (raw dòng 1701); chưa có claim trong source note</t>
        </is>
      </c>
    </row>
    <row r="27">
      <c r="A27" s="22" t="inlineStr">
        <is>
          <t>4.4</t>
        </is>
      </c>
      <c r="B27" s="14" t="inlineStr">
        <is>
          <t>Dòng tiền ra bổ sung do phải ký quỹ theo thỏa thuận nhưng đối tác chưa yêu cầu ký quỹ</t>
        </is>
      </c>
      <c r="C27" s="44" t="n">
        <v>0</v>
      </c>
      <c r="D27" s="44" t="n">
        <v>0</v>
      </c>
      <c r="E27" s="44" t="n">
        <v>0</v>
      </c>
      <c r="F27" s="44" t="n">
        <v>0</v>
      </c>
      <c r="G27" s="45">
        <f>SUM(C27:F27)</f>
        <v/>
      </c>
      <c r="H27" s="24">
        <f>ThamSo!$E$33</f>
        <v/>
      </c>
      <c r="I27" s="45">
        <f>G27*H27</f>
        <v/>
      </c>
      <c r="J27" s="18" t="inlineStr">
        <is>
          <t>Khoản 2.4 Mục IV Phần B</t>
        </is>
      </c>
      <c r="K27" s="18" t="inlineStr">
        <is>
          <t>PL1.B.IV.2.4 (raw dòng 1705); chưa có claim trong source note</t>
        </is>
      </c>
    </row>
    <row r="28">
      <c r="A28" s="22" t="inlineStr">
        <is>
          <t>4.5</t>
        </is>
      </c>
      <c r="B28" s="14" t="inlineStr">
        <is>
          <t>Dòng tiền ra bổ sung do thay đổi định giá thị trường</t>
        </is>
      </c>
      <c r="C28" s="44" t="n">
        <v>0</v>
      </c>
      <c r="D28" s="44" t="n">
        <v>0</v>
      </c>
      <c r="E28" s="44" t="n">
        <v>0</v>
      </c>
      <c r="F28" s="44" t="n">
        <v>350</v>
      </c>
      <c r="G28" s="45">
        <f>SUM(C28:F28)</f>
        <v/>
      </c>
      <c r="H28" s="24">
        <f>ThamSo!$E$34</f>
        <v/>
      </c>
      <c r="I28" s="45">
        <f>G28*H28</f>
        <v/>
      </c>
      <c r="J28" s="18" t="inlineStr">
        <is>
          <t>Khoản 2.5 Mục IV Phần B</t>
        </is>
      </c>
      <c r="K28" s="18" t="inlineStr">
        <is>
          <t>PL1.B.IV.2.5.b (raw dòng 1721); [[src-tt50-2026-nhnn#^pl1-b4]]</t>
        </is>
      </c>
    </row>
    <row r="29">
      <c r="A29" s="39" t="inlineStr">
        <is>
          <t>5</t>
        </is>
      </c>
      <c r="B29" s="40" t="inlineStr">
        <is>
          <t>Dòng tiền ra từ cam kết ngoại bảng</t>
        </is>
      </c>
      <c r="C29" s="41">
        <f>C30+C43+C47</f>
        <v/>
      </c>
      <c r="D29" s="41">
        <f>D30+D43+D47</f>
        <v/>
      </c>
      <c r="E29" s="41">
        <f>E30+E43+E47</f>
        <v/>
      </c>
      <c r="F29" s="41">
        <f>F30+F43+F47</f>
        <v/>
      </c>
      <c r="G29" s="41">
        <f>G30+G43+G47</f>
        <v/>
      </c>
      <c r="H29" s="42" t="n"/>
      <c r="I29" s="41">
        <f>I30+I43+I47</f>
        <v/>
      </c>
      <c r="J29" s="43" t="inlineStr"/>
      <c r="K29" s="43" t="n"/>
    </row>
    <row r="30">
      <c r="A30" s="39" t="inlineStr">
        <is>
          <t>5.1</t>
        </is>
      </c>
      <c r="B30" s="40" t="inlineStr">
        <is>
          <t>Hạn mức cam kết chưa sử dụng</t>
        </is>
      </c>
      <c r="C30" s="41">
        <f>C31+C32+C35+C38+C39+C42</f>
        <v/>
      </c>
      <c r="D30" s="41">
        <f>D31+D32+D35+D38+D39+D42</f>
        <v/>
      </c>
      <c r="E30" s="41">
        <f>E31+E32+E35+E38+E39+E42</f>
        <v/>
      </c>
      <c r="F30" s="41">
        <f>F31+F32+F35+F38+F39+F42</f>
        <v/>
      </c>
      <c r="G30" s="41">
        <f>G31+G32+G35+G38+G39+G42</f>
        <v/>
      </c>
      <c r="H30" s="42" t="n"/>
      <c r="I30" s="41">
        <f>I31+I32+I35+I38+I39+I42</f>
        <v/>
      </c>
      <c r="J30" s="43" t="inlineStr">
        <is>
          <t>Khoản 1 Mục V Phần B</t>
        </is>
      </c>
      <c r="K30" s="43" t="n"/>
    </row>
    <row r="31">
      <c r="A31" s="22" t="inlineStr">
        <is>
          <t>5.1.1</t>
        </is>
      </c>
      <c r="B31" s="14" t="inlineStr">
        <is>
          <t>Đối với khách hàng bán lẻ và doanh nghiệp nhỏ và vừa đủ điều kiện</t>
        </is>
      </c>
      <c r="C31" s="44" t="n">
        <v>0</v>
      </c>
      <c r="D31" s="44" t="n">
        <v>0</v>
      </c>
      <c r="E31" s="44" t="n">
        <v>0</v>
      </c>
      <c r="F31" s="44" t="n">
        <v>6000</v>
      </c>
      <c r="G31" s="45">
        <f>SUM(C31:F31)</f>
        <v/>
      </c>
      <c r="H31" s="24">
        <f>ThamSo!$E$35</f>
        <v/>
      </c>
      <c r="I31" s="45">
        <f>G31*H31</f>
        <v/>
      </c>
      <c r="J31" s="18" t="inlineStr">
        <is>
          <t>Khoản 1.5a Mục V Phần B</t>
        </is>
      </c>
      <c r="K31" s="18" t="inlineStr">
        <is>
          <t>PL1.B.V.1.5.a (raw dòng 1748); [[src-tt50-2026-nhnn#^pl1-b5]]</t>
        </is>
      </c>
    </row>
    <row r="32">
      <c r="A32" s="39" t="inlineStr">
        <is>
          <t>5.1.2</t>
        </is>
      </c>
      <c r="B32" s="40" t="inlineStr">
        <is>
          <t>Doanh nghiệp không phải tổ chức tài chính</t>
        </is>
      </c>
      <c r="C32" s="41">
        <f>C33+C34</f>
        <v/>
      </c>
      <c r="D32" s="41">
        <f>D33+D34</f>
        <v/>
      </c>
      <c r="E32" s="41">
        <f>E33+E34</f>
        <v/>
      </c>
      <c r="F32" s="41">
        <f>F33+F34</f>
        <v/>
      </c>
      <c r="G32" s="41">
        <f>G33+G34</f>
        <v/>
      </c>
      <c r="H32" s="42" t="n"/>
      <c r="I32" s="41">
        <f>I33+I34</f>
        <v/>
      </c>
      <c r="J32" s="43" t="inlineStr">
        <is>
          <t>Khoản 1.5b Mục V Phần B</t>
        </is>
      </c>
      <c r="K32" s="43" t="n"/>
    </row>
    <row r="33">
      <c r="A33" s="22" t="inlineStr">
        <is>
          <t>5.1.2a</t>
        </is>
      </c>
      <c r="B33" s="14" t="inlineStr">
        <is>
          <t xml:space="preserve">  – Hạn mức tín dụng</t>
        </is>
      </c>
      <c r="C33" s="44" t="n">
        <v>0</v>
      </c>
      <c r="D33" s="44" t="n">
        <v>0</v>
      </c>
      <c r="E33" s="44" t="n">
        <v>0</v>
      </c>
      <c r="F33" s="44" t="n">
        <v>12000</v>
      </c>
      <c r="G33" s="45">
        <f>SUM(C33:F33)</f>
        <v/>
      </c>
      <c r="H33" s="24">
        <f>ThamSo!$E$36</f>
        <v/>
      </c>
      <c r="I33" s="45">
        <f>G33*H33</f>
        <v/>
      </c>
      <c r="J33" s="18" t="inlineStr">
        <is>
          <t>Khoản 1.5b Mục V Phần B</t>
        </is>
      </c>
      <c r="K33" s="18" t="inlineStr">
        <is>
          <t>PL1.B.V.1.5.b (raw dòng 1749); [[src-tt50-2026-nhnn#^pl1-b5]]</t>
        </is>
      </c>
    </row>
    <row r="34">
      <c r="A34" s="22" t="inlineStr">
        <is>
          <t>5.1.2b</t>
        </is>
      </c>
      <c r="B34" s="14" t="inlineStr">
        <is>
          <t xml:space="preserve">  – Hạn mức thanh khoản</t>
        </is>
      </c>
      <c r="C34" s="44" t="n">
        <v>0</v>
      </c>
      <c r="D34" s="44" t="n">
        <v>0</v>
      </c>
      <c r="E34" s="44" t="n">
        <v>0</v>
      </c>
      <c r="F34" s="44" t="n">
        <v>800</v>
      </c>
      <c r="G34" s="45">
        <f>SUM(C34:F34)</f>
        <v/>
      </c>
      <c r="H34" s="24">
        <f>ThamSo!$E$37</f>
        <v/>
      </c>
      <c r="I34" s="45">
        <f>G34*H34</f>
        <v/>
      </c>
      <c r="J34" s="18" t="inlineStr">
        <is>
          <t>Khoản 1.5b Mục V Phần B</t>
        </is>
      </c>
      <c r="K34" s="18" t="inlineStr">
        <is>
          <t>PL1.B.V.1.5.b (raw dòng 1749); [[src-tt50-2026-nhnn#^pl1-b5]]</t>
        </is>
      </c>
    </row>
    <row r="35">
      <c r="A35" s="39" t="inlineStr">
        <is>
          <t>5.1.3</t>
        </is>
      </c>
      <c r="B35" s="40" t="inlineStr">
        <is>
          <t>Chính phủ, ngân hàng trung ương, tổ chức tài chính quốc tế và tổ chức công lập của Chính phủ</t>
        </is>
      </c>
      <c r="C35" s="41">
        <f>C36+C37</f>
        <v/>
      </c>
      <c r="D35" s="41">
        <f>D36+D37</f>
        <v/>
      </c>
      <c r="E35" s="41">
        <f>E36+E37</f>
        <v/>
      </c>
      <c r="F35" s="41">
        <f>F36+F37</f>
        <v/>
      </c>
      <c r="G35" s="41">
        <f>G36+G37</f>
        <v/>
      </c>
      <c r="H35" s="42" t="n"/>
      <c r="I35" s="41">
        <f>I36+I37</f>
        <v/>
      </c>
      <c r="J35" s="43" t="inlineStr">
        <is>
          <t>Khoản 1.5c Mục V Phần B</t>
        </is>
      </c>
      <c r="K35" s="43" t="n"/>
    </row>
    <row r="36">
      <c r="A36" s="22" t="inlineStr">
        <is>
          <t>5.1.3a</t>
        </is>
      </c>
      <c r="B36" s="14" t="inlineStr">
        <is>
          <t xml:space="preserve">  – Hạn mức tín dụng</t>
        </is>
      </c>
      <c r="C36" s="44" t="n">
        <v>0</v>
      </c>
      <c r="D36" s="44" t="n">
        <v>0</v>
      </c>
      <c r="E36" s="44" t="n">
        <v>0</v>
      </c>
      <c r="F36" s="44" t="n">
        <v>0</v>
      </c>
      <c r="G36" s="45">
        <f>SUM(C36:F36)</f>
        <v/>
      </c>
      <c r="H36" s="24">
        <f>ThamSo!$E$38</f>
        <v/>
      </c>
      <c r="I36" s="45">
        <f>G36*H36</f>
        <v/>
      </c>
      <c r="J36" s="18" t="inlineStr">
        <is>
          <t>Khoản 1.5c Mục V Phần B</t>
        </is>
      </c>
      <c r="K36" s="18" t="inlineStr">
        <is>
          <t>PL1.B.V.1.5.c (raw dòng 1750); [[src-tt50-2026-nhnn#^pl1-b5]]</t>
        </is>
      </c>
    </row>
    <row r="37">
      <c r="A37" s="22" t="inlineStr">
        <is>
          <t>5.1.3b</t>
        </is>
      </c>
      <c r="B37" s="14" t="inlineStr">
        <is>
          <t xml:space="preserve">  – Hạn mức thanh khoản</t>
        </is>
      </c>
      <c r="C37" s="44" t="n">
        <v>0</v>
      </c>
      <c r="D37" s="44" t="n">
        <v>0</v>
      </c>
      <c r="E37" s="44" t="n">
        <v>0</v>
      </c>
      <c r="F37" s="44" t="n">
        <v>0</v>
      </c>
      <c r="G37" s="45">
        <f>SUM(C37:F37)</f>
        <v/>
      </c>
      <c r="H37" s="24">
        <f>ThamSo!$E$39</f>
        <v/>
      </c>
      <c r="I37" s="45">
        <f>G37*H37</f>
        <v/>
      </c>
      <c r="J37" s="18" t="inlineStr">
        <is>
          <t>Khoản 1.5c Mục V Phần B</t>
        </is>
      </c>
      <c r="K37" s="18" t="inlineStr">
        <is>
          <t>PL1.B.V.1.5.c (raw dòng 1750); [[src-tt50-2026-nhnn#^pl1-b5]]</t>
        </is>
      </c>
    </row>
    <row r="38">
      <c r="A38" s="22" t="inlineStr">
        <is>
          <t>5.1.4</t>
        </is>
      </c>
      <c r="B38" s="14" t="inlineStr">
        <is>
          <t>Tổ chức tín dụng, chi nhánh ngân hàng nước ngoài</t>
        </is>
      </c>
      <c r="C38" s="44" t="n">
        <v>0</v>
      </c>
      <c r="D38" s="44" t="n">
        <v>0</v>
      </c>
      <c r="E38" s="44" t="n">
        <v>0</v>
      </c>
      <c r="F38" s="44" t="n">
        <v>500</v>
      </c>
      <c r="G38" s="45">
        <f>SUM(C38:F38)</f>
        <v/>
      </c>
      <c r="H38" s="24">
        <f>ThamSo!$E$40</f>
        <v/>
      </c>
      <c r="I38" s="45">
        <f>G38*H38</f>
        <v/>
      </c>
      <c r="J38" s="18" t="inlineStr">
        <is>
          <t>Khoản 1.5d Mục V Phần B</t>
        </is>
      </c>
      <c r="K38" s="18" t="inlineStr">
        <is>
          <t>PL1.B.V.1.5.d (raw dòng 1751); [[src-tt50-2026-nhnn#^pl1-b5]]</t>
        </is>
      </c>
    </row>
    <row r="39">
      <c r="A39" s="39" t="inlineStr">
        <is>
          <t>5.1.5</t>
        </is>
      </c>
      <c r="B39" s="40" t="inlineStr">
        <is>
          <t>Tổ chức tài chính khác (bao gồm công ty chứng khoán, bảo hiểm, công ty quản lý quỹ)</t>
        </is>
      </c>
      <c r="C39" s="41">
        <f>C40+C41</f>
        <v/>
      </c>
      <c r="D39" s="41">
        <f>D40+D41</f>
        <v/>
      </c>
      <c r="E39" s="41">
        <f>E40+E41</f>
        <v/>
      </c>
      <c r="F39" s="41">
        <f>F40+F41</f>
        <v/>
      </c>
      <c r="G39" s="41">
        <f>G40+G41</f>
        <v/>
      </c>
      <c r="H39" s="42" t="n"/>
      <c r="I39" s="41">
        <f>I40+I41</f>
        <v/>
      </c>
      <c r="J39" s="43" t="inlineStr">
        <is>
          <t>Khoản 1.5đ Mục V Phần B</t>
        </is>
      </c>
      <c r="K39" s="43" t="n"/>
    </row>
    <row r="40">
      <c r="A40" s="22" t="inlineStr">
        <is>
          <t>5.1.5a</t>
        </is>
      </c>
      <c r="B40" s="14" t="inlineStr">
        <is>
          <t xml:space="preserve">  – Hạn mức tín dụng</t>
        </is>
      </c>
      <c r="C40" s="44" t="n">
        <v>0</v>
      </c>
      <c r="D40" s="44" t="n">
        <v>0</v>
      </c>
      <c r="E40" s="44" t="n">
        <v>0</v>
      </c>
      <c r="F40" s="44" t="n">
        <v>0</v>
      </c>
      <c r="G40" s="45">
        <f>SUM(C40:F40)</f>
        <v/>
      </c>
      <c r="H40" s="24">
        <f>ThamSo!$E$41</f>
        <v/>
      </c>
      <c r="I40" s="45">
        <f>G40*H40</f>
        <v/>
      </c>
      <c r="J40" s="18" t="inlineStr">
        <is>
          <t>Khoản 1.5đ Mục V Phần B</t>
        </is>
      </c>
      <c r="K40" s="18" t="inlineStr">
        <is>
          <t>PL1.B.V.1.5.đ (raw dòng 1752); [[src-tt50-2026-nhnn#^pl1-b5]]</t>
        </is>
      </c>
    </row>
    <row r="41">
      <c r="A41" s="22" t="inlineStr">
        <is>
          <t>5.1.5b</t>
        </is>
      </c>
      <c r="B41" s="14" t="inlineStr">
        <is>
          <t xml:space="preserve">  – Hạn mức thanh khoản</t>
        </is>
      </c>
      <c r="C41" s="44" t="n">
        <v>0</v>
      </c>
      <c r="D41" s="44" t="n">
        <v>0</v>
      </c>
      <c r="E41" s="44" t="n">
        <v>0</v>
      </c>
      <c r="F41" s="44" t="n">
        <v>0</v>
      </c>
      <c r="G41" s="45">
        <f>SUM(C41:F41)</f>
        <v/>
      </c>
      <c r="H41" s="24">
        <f>ThamSo!$E$42</f>
        <v/>
      </c>
      <c r="I41" s="45">
        <f>G41*H41</f>
        <v/>
      </c>
      <c r="J41" s="18" t="inlineStr">
        <is>
          <t>Khoản 1.5đ Mục V Phần B</t>
        </is>
      </c>
      <c r="K41" s="18" t="inlineStr">
        <is>
          <t>PL1.B.V.1.5.đ (raw dòng 1752); [[src-tt50-2026-nhnn#^pl1-b5]]</t>
        </is>
      </c>
    </row>
    <row r="42">
      <c r="A42" s="22" t="inlineStr">
        <is>
          <t>5.1.6</t>
        </is>
      </c>
      <c r="B42" s="14" t="inlineStr">
        <is>
          <t>Khách hàng là đối tượng khác</t>
        </is>
      </c>
      <c r="C42" s="44" t="n">
        <v>0</v>
      </c>
      <c r="D42" s="44" t="n">
        <v>0</v>
      </c>
      <c r="E42" s="44" t="n">
        <v>0</v>
      </c>
      <c r="F42" s="44" t="n">
        <v>0</v>
      </c>
      <c r="G42" s="45">
        <f>SUM(C42:F42)</f>
        <v/>
      </c>
      <c r="H42" s="24">
        <f>ThamSo!$E$43</f>
        <v/>
      </c>
      <c r="I42" s="45">
        <f>G42*H42</f>
        <v/>
      </c>
      <c r="J42" s="18" t="inlineStr">
        <is>
          <t>Khoản 1.5e Mục V Phần B</t>
        </is>
      </c>
      <c r="K42" s="18" t="inlineStr">
        <is>
          <t>PL1.B.V.1.5.e (raw dòng 1753); [[src-tt50-2026-nhnn#^pl1-b5]]</t>
        </is>
      </c>
    </row>
    <row r="43">
      <c r="A43" s="39" t="inlineStr">
        <is>
          <t>5.2</t>
        </is>
      </c>
      <c r="B43" s="40" t="inlineStr">
        <is>
          <t>Dòng tiền từ nghĩa vụ giải ngân, thanh toán theo thỏa thuận</t>
        </is>
      </c>
      <c r="C43" s="41">
        <f>C44+C45</f>
        <v/>
      </c>
      <c r="D43" s="41">
        <f>D44+D45</f>
        <v/>
      </c>
      <c r="E43" s="41">
        <f>E44+E45</f>
        <v/>
      </c>
      <c r="F43" s="41">
        <f>F44+F45</f>
        <v/>
      </c>
      <c r="G43" s="41">
        <f>G44+G45</f>
        <v/>
      </c>
      <c r="H43" s="42" t="n"/>
      <c r="I43" s="41">
        <f>I44+I45</f>
        <v/>
      </c>
      <c r="J43" s="43" t="inlineStr"/>
      <c r="K43" s="43" t="n"/>
    </row>
    <row r="44">
      <c r="A44" s="22" t="inlineStr">
        <is>
          <t>5.2.1</t>
        </is>
      </c>
      <c r="B44" s="14" t="inlineStr">
        <is>
          <t>Nghĩa vụ phải giải ngân, thanh toán trong vòng 30 ngày cho các tổ chức tài chính (bao gồm cả Ngân hàng Nhà nước)</t>
        </is>
      </c>
      <c r="C44" s="44" t="n">
        <v>300</v>
      </c>
      <c r="D44" s="44" t="n">
        <v>400</v>
      </c>
      <c r="E44" s="44" t="n">
        <v>0</v>
      </c>
      <c r="F44" s="44" t="n">
        <v>0</v>
      </c>
      <c r="G44" s="45">
        <f>SUM(C44:F44)</f>
        <v/>
      </c>
      <c r="H44" s="24">
        <f>ThamSo!$E$44</f>
        <v/>
      </c>
      <c r="I44" s="45">
        <f>G44*H44</f>
        <v/>
      </c>
      <c r="J44" s="18" t="inlineStr">
        <is>
          <t>Khoản 2.1 Mục V Phần B</t>
        </is>
      </c>
      <c r="K44" s="18" t="inlineStr">
        <is>
          <t>PL1.B.V.2.1 (raw dòng 1759); [[src-tt50-2026-nhnn#^pl1-b5]]</t>
        </is>
      </c>
    </row>
    <row r="45">
      <c r="A45" s="22" t="inlineStr">
        <is>
          <t>5.2.2</t>
        </is>
      </c>
      <c r="B45" s="14" t="inlineStr">
        <is>
          <t>Nghĩa vụ phải giải ngân, thanh toán trong vòng 30 ngày cho các cá nhân và các tổ chức khác (không bao gồm tổ chức tài chính) — chỉ tính phần vượt 50% dòng vào từ cùng nhóm (dòng ngay dưới)</t>
        </is>
      </c>
      <c r="C45" s="44" t="n">
        <v>500</v>
      </c>
      <c r="D45" s="44" t="n">
        <v>1200</v>
      </c>
      <c r="E45" s="44" t="n">
        <v>1500</v>
      </c>
      <c r="F45" s="44" t="n">
        <v>2800</v>
      </c>
      <c r="G45" s="45">
        <f>SUM(C45:F45)</f>
        <v/>
      </c>
      <c r="H45" s="24">
        <f>ThamSo!$E$45</f>
        <v/>
      </c>
      <c r="I45" s="45">
        <f>MAX(0,G45-ThamSo!$E$46*G46)*H45</f>
        <v/>
      </c>
      <c r="J45" s="18" t="inlineStr">
        <is>
          <t>Khoản 2.2 Mục V Phần B</t>
        </is>
      </c>
      <c r="K45" s="18" t="inlineStr">
        <is>
          <t>PL1.B.V.2.2 (raw dòng 1761); chưa có claim trong source note</t>
        </is>
      </c>
    </row>
    <row r="46">
      <c r="A46" s="51" t="inlineStr">
        <is>
          <t>5.2.2*</t>
        </is>
      </c>
      <c r="B46" s="18" t="inlineStr">
        <is>
          <t xml:space="preserve">  Ghi nhớ (không cộng vào tổng): dòng tiền vào trong 30 ngày từ cá nhân và tổ chức khác (không phải tổ chức tài chính)</t>
        </is>
      </c>
      <c r="C46" s="44" t="n">
        <v>0</v>
      </c>
      <c r="D46" s="44" t="n">
        <v>0</v>
      </c>
      <c r="E46" s="44" t="n">
        <v>0</v>
      </c>
      <c r="F46" s="44" t="n">
        <v>7000</v>
      </c>
      <c r="G46" s="52">
        <f>SUM(C46:F46)</f>
        <v/>
      </c>
      <c r="H46" s="53" t="n"/>
      <c r="I46" s="52" t="n"/>
      <c r="J46" s="18" t="inlineStr">
        <is>
          <t>Dùng để tính ngưỡng 50% của mục 5.2.2</t>
        </is>
      </c>
      <c r="K46" s="18" t="inlineStr">
        <is>
          <t>PL1.B.V.2.2 (raw dòng 1761). Ngưỡng 50%: ThamSo!$E$46</t>
        </is>
      </c>
    </row>
    <row r="47">
      <c r="A47" s="39" t="inlineStr">
        <is>
          <t>5.3</t>
        </is>
      </c>
      <c r="B47" s="40" t="inlineStr">
        <is>
          <t>Dòng tiền ra từ các nghĩa vụ nợ tiềm ẩn khác</t>
        </is>
      </c>
      <c r="C47" s="41">
        <f>C48+C52+C53+C54</f>
        <v/>
      </c>
      <c r="D47" s="41">
        <f>D48+D52+D53+D54</f>
        <v/>
      </c>
      <c r="E47" s="41">
        <f>E48+E52+E53+E54</f>
        <v/>
      </c>
      <c r="F47" s="41">
        <f>F48+F52+F53+F54</f>
        <v/>
      </c>
      <c r="G47" s="41">
        <f>G48+G52+G53+G54</f>
        <v/>
      </c>
      <c r="H47" s="42" t="n"/>
      <c r="I47" s="41">
        <f>I48+I52+I53+I54</f>
        <v/>
      </c>
      <c r="J47" s="43" t="inlineStr"/>
      <c r="K47" s="43" t="n"/>
    </row>
    <row r="48">
      <c r="A48" s="39" t="inlineStr">
        <is>
          <t>5.3.1</t>
        </is>
      </c>
      <c r="B48" s="40" t="inlineStr">
        <is>
          <t>Các nghĩa vụ nợ tiềm ẩn theo hợp đồng</t>
        </is>
      </c>
      <c r="C48" s="41">
        <f>C49+C50+C51</f>
        <v/>
      </c>
      <c r="D48" s="41">
        <f>D49+D50+D51</f>
        <v/>
      </c>
      <c r="E48" s="41">
        <f>E49+E50+E51</f>
        <v/>
      </c>
      <c r="F48" s="41">
        <f>F49+F50+F51</f>
        <v/>
      </c>
      <c r="G48" s="41">
        <f>G49+G50+G51</f>
        <v/>
      </c>
      <c r="H48" s="42" t="n"/>
      <c r="I48" s="41">
        <f>I49+I50+I51</f>
        <v/>
      </c>
      <c r="J48" s="43" t="inlineStr"/>
      <c r="K48" s="43" t="n"/>
    </row>
    <row r="49">
      <c r="A49" s="22" t="inlineStr">
        <is>
          <t>5.3.1a</t>
        </is>
      </c>
      <c r="B49" s="14" t="inlineStr">
        <is>
          <t xml:space="preserve">  – Hạn mức huỷ ngang vô điều kiện; cam kết cung cấp cam kết ngoại bảng khác [a(i), a(iv)]</t>
        </is>
      </c>
      <c r="C49" s="44" t="n">
        <v>0</v>
      </c>
      <c r="D49" s="44" t="n">
        <v>0</v>
      </c>
      <c r="E49" s="44" t="n">
        <v>0</v>
      </c>
      <c r="F49" s="44" t="n">
        <v>3000</v>
      </c>
      <c r="G49" s="45">
        <f>SUM(C49:F49)</f>
        <v/>
      </c>
      <c r="H49" s="24">
        <f>ThamSo!$E$47</f>
        <v/>
      </c>
      <c r="I49" s="45">
        <f>G49*H49</f>
        <v/>
      </c>
      <c r="J49" s="18" t="inlineStr">
        <is>
          <t>Khoản 3.2a Mục V Phần B</t>
        </is>
      </c>
      <c r="K49" s="18" t="inlineStr">
        <is>
          <t>PL1.B.V.3.2.a (raw dòng 1785); [[src-tt50-2026-nhnn#^pl1-b5-3]]</t>
        </is>
      </c>
    </row>
    <row r="50">
      <c r="A50" s="22" t="inlineStr">
        <is>
          <t>5.3.1b</t>
        </is>
      </c>
      <c r="B50" s="14" t="inlineStr">
        <is>
          <t xml:space="preserve">  – Công cụ tài trợ thương mại [a(ii)]</t>
        </is>
      </c>
      <c r="C50" s="44" t="n">
        <v>0</v>
      </c>
      <c r="D50" s="44" t="n">
        <v>0</v>
      </c>
      <c r="E50" s="44" t="n">
        <v>0</v>
      </c>
      <c r="F50" s="44" t="n">
        <v>4000</v>
      </c>
      <c r="G50" s="45">
        <f>SUM(C50:F50)</f>
        <v/>
      </c>
      <c r="H50" s="24">
        <f>ThamSo!$E$48</f>
        <v/>
      </c>
      <c r="I50" s="45">
        <f>G50*H50</f>
        <v/>
      </c>
      <c r="J50" s="18" t="inlineStr">
        <is>
          <t>Khoản 3.2b Mục V Phần B</t>
        </is>
      </c>
      <c r="K50" s="18" t="inlineStr">
        <is>
          <t>PL1.B.V.3.2.b (raw dòng 1787); [[src-tt50-2026-nhnn#^pl1-b5-3]]</t>
        </is>
      </c>
    </row>
    <row r="51">
      <c r="A51" s="22" t="inlineStr">
        <is>
          <t>5.3.1c</t>
        </is>
      </c>
      <c r="B51" s="14" t="inlineStr">
        <is>
          <t xml:space="preserve">  – Bảo lãnh ngân hàng, dự thầu, thực hiện hợp đồng; autocallable [a(iii), a(v)]</t>
        </is>
      </c>
      <c r="C51" s="44" t="n">
        <v>0</v>
      </c>
      <c r="D51" s="44" t="n">
        <v>0</v>
      </c>
      <c r="E51" s="44" t="n">
        <v>0</v>
      </c>
      <c r="F51" s="44" t="n">
        <v>15000</v>
      </c>
      <c r="G51" s="45">
        <f>SUM(C51:F51)</f>
        <v/>
      </c>
      <c r="H51" s="24">
        <f>ThamSo!$E$49</f>
        <v/>
      </c>
      <c r="I51" s="45">
        <f>G51*H51</f>
        <v/>
      </c>
      <c r="J51" s="18" t="inlineStr">
        <is>
          <t>Khoản 3.2c Mục V Phần B</t>
        </is>
      </c>
      <c r="K51" s="18" t="inlineStr">
        <is>
          <t>PL1.B.V.3.2.c (raw dòng 1789); [[src-tt50-2026-nhnn#^pl1-b5-3]]</t>
        </is>
      </c>
    </row>
    <row r="52">
      <c r="A52" s="22" t="inlineStr">
        <is>
          <t>5.3.2</t>
        </is>
      </c>
      <c r="B52" s="14" t="inlineStr">
        <is>
          <t>Các nghĩa vụ tiềm ẩn phi hợp đồng</t>
        </is>
      </c>
      <c r="C52" s="44" t="n">
        <v>0</v>
      </c>
      <c r="D52" s="44" t="n">
        <v>0</v>
      </c>
      <c r="E52" s="44" t="n">
        <v>0</v>
      </c>
      <c r="F52" s="44" t="n">
        <v>0</v>
      </c>
      <c r="G52" s="45">
        <f>SUM(C52:F52)</f>
        <v/>
      </c>
      <c r="H52" s="24">
        <f>ThamSo!$E$50</f>
        <v/>
      </c>
      <c r="I52" s="45">
        <f>G52*H52</f>
        <v/>
      </c>
      <c r="J52" s="18" t="inlineStr">
        <is>
          <t>Khoản 3.2d Mục V Phần B</t>
        </is>
      </c>
      <c r="K52" s="18" t="inlineStr">
        <is>
          <t>PL1.B.V.3.2.d (raw dòng 1791); [[src-tt50-2026-nhnn#^pl1-b5-3]]</t>
        </is>
      </c>
    </row>
    <row r="53">
      <c r="A53" s="22" t="inlineStr">
        <is>
          <t>5.3.3</t>
        </is>
      </c>
      <c r="B53" s="14" t="inlineStr">
        <is>
          <t>Cam kết ngoại bảng khác</t>
        </is>
      </c>
      <c r="C53" s="44" t="n">
        <v>0</v>
      </c>
      <c r="D53" s="44" t="n">
        <v>0</v>
      </c>
      <c r="E53" s="44" t="n">
        <v>0</v>
      </c>
      <c r="F53" s="44" t="n">
        <v>0</v>
      </c>
      <c r="G53" s="45">
        <f>SUM(C53:F53)</f>
        <v/>
      </c>
      <c r="H53" s="24">
        <f>ThamSo!$E$51</f>
        <v/>
      </c>
      <c r="I53" s="45">
        <f>G53*H53</f>
        <v/>
      </c>
      <c r="J53" s="18" t="inlineStr">
        <is>
          <t>Khoản 3.2d Mục V Phần B</t>
        </is>
      </c>
      <c r="K53" s="18" t="inlineStr">
        <is>
          <t>PL1.B.V.3.2.d (raw dòng 1791); [[src-tt50-2026-nhnn#^pl1-b5-3]]</t>
        </is>
      </c>
    </row>
    <row r="54">
      <c r="A54" s="22" t="inlineStr">
        <is>
          <t>5.3.4</t>
        </is>
      </c>
      <c r="B54" s="14" t="inlineStr">
        <is>
          <t>Nghĩa vụ nợ tiềm ẩn phát sinh sự kiện cụ thể kích hoạt hợp đồng theo thỏa thuận</t>
        </is>
      </c>
      <c r="C54" s="44" t="n">
        <v>0</v>
      </c>
      <c r="D54" s="44" t="n">
        <v>0</v>
      </c>
      <c r="E54" s="44" t="n">
        <v>0</v>
      </c>
      <c r="F54" s="44" t="n">
        <v>0</v>
      </c>
      <c r="G54" s="45">
        <f>SUM(C54:F54)</f>
        <v/>
      </c>
      <c r="H54" s="24">
        <f>ThamSo!$E$52</f>
        <v/>
      </c>
      <c r="I54" s="45">
        <f>G54*H54</f>
        <v/>
      </c>
      <c r="J54" s="18" t="inlineStr">
        <is>
          <t>Khoản 3.3 Mục V Phần B</t>
        </is>
      </c>
      <c r="K54" s="18" t="inlineStr">
        <is>
          <t>PL1.B.V.3.3 (raw dòng 1793); chưa có claim trong source note</t>
        </is>
      </c>
    </row>
    <row r="55">
      <c r="A55" s="22" t="inlineStr">
        <is>
          <t>6</t>
        </is>
      </c>
      <c r="B55" s="14" t="inlineStr">
        <is>
          <t>Dòng tiền ra ròng từ các hợp đồng phái sinh</t>
        </is>
      </c>
      <c r="C55" s="44" t="n">
        <v>50</v>
      </c>
      <c r="D55" s="44" t="n">
        <v>120</v>
      </c>
      <c r="E55" s="44" t="n">
        <v>80</v>
      </c>
      <c r="F55" s="44" t="n">
        <v>200</v>
      </c>
      <c r="G55" s="45">
        <f>SUM(C55:F55)</f>
        <v/>
      </c>
      <c r="H55" s="24">
        <f>ThamSo!$E$53</f>
        <v/>
      </c>
      <c r="I55" s="45">
        <f>G55*H55</f>
        <v/>
      </c>
      <c r="J55" s="18" t="inlineStr">
        <is>
          <t>Khoản 1 Mục IV Phần B</t>
        </is>
      </c>
      <c r="K55" s="18" t="inlineStr">
        <is>
          <t>PL1.B.IV.1.2 (raw dòng 1663); [[src-tt50-2026-nhnn#^pl1-b4]]</t>
        </is>
      </c>
    </row>
    <row r="56">
      <c r="A56" s="22" t="inlineStr">
        <is>
          <t>7</t>
        </is>
      </c>
      <c r="B56" s="14" t="inlineStr">
        <is>
          <t>Dòng tiền ra theo thỏa thuận khác</t>
        </is>
      </c>
      <c r="C56" s="44" t="n">
        <v>0</v>
      </c>
      <c r="D56" s="44" t="n">
        <v>0</v>
      </c>
      <c r="E56" s="44" t="n">
        <v>0</v>
      </c>
      <c r="F56" s="44" t="n">
        <v>0</v>
      </c>
      <c r="G56" s="45">
        <f>SUM(C56:F56)</f>
        <v/>
      </c>
      <c r="H56" s="24">
        <f>ThamSo!$E$54</f>
        <v/>
      </c>
      <c r="I56" s="45">
        <f>G56*H56</f>
        <v/>
      </c>
      <c r="J56" s="18" t="inlineStr">
        <is>
          <t>Mục VI Phần B</t>
        </is>
      </c>
      <c r="K56" s="18" t="inlineStr">
        <is>
          <t>PL1.B.VI.2 (raw dòng 1799); chưa có claim trong source note</t>
        </is>
      </c>
    </row>
    <row r="57">
      <c r="A57" s="48" t="inlineStr">
        <is>
          <t>Tổng dòng tiền ra</t>
        </is>
      </c>
      <c r="B57" s="54" t="n"/>
      <c r="C57" s="49">
        <f>C6+C9+C16+C23+C29+C55+C56</f>
        <v/>
      </c>
      <c r="D57" s="49">
        <f>D6+D9+D16+D23+D29+D55+D56</f>
        <v/>
      </c>
      <c r="E57" s="49">
        <f>E6+E9+E16+E23+E29+E55+E56</f>
        <v/>
      </c>
      <c r="F57" s="49">
        <f>F6+F9+F16+F23+F29+F55+F56</f>
        <v/>
      </c>
      <c r="G57" s="49">
        <f>G6+G9+G16+G23+G29+G55+G56</f>
        <v/>
      </c>
      <c r="H57" s="48" t="n"/>
      <c r="I57" s="49">
        <f>I6+I9+I16+I23+I29+I55+I56</f>
        <v/>
      </c>
      <c r="J57" s="48" t="n"/>
      <c r="K57" s="48" t="n"/>
    </row>
  </sheetData>
  <mergeCells count="2">
    <mergeCell ref="A2:K2"/>
    <mergeCell ref="A57:B57"/>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3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58" customWidth="1" min="2" max="2"/>
    <col width="12" customWidth="1" min="3" max="3"/>
    <col width="12" customWidth="1" min="4" max="4"/>
    <col width="12" customWidth="1" min="5" max="5"/>
    <col width="12" customWidth="1" min="6" max="6"/>
    <col width="13" customWidth="1" min="7" max="7"/>
    <col width="10" customWidth="1" min="8" max="8"/>
    <col width="15" customWidth="1" min="9" max="9"/>
    <col width="26" customWidth="1" min="10" max="10"/>
    <col width="30" customWidth="1" min="11" max="11"/>
  </cols>
  <sheetData>
    <row r="1">
      <c r="A1" s="9" t="inlineStr">
        <is>
          <t>DÒNG TIỀN VÀO — TT50 PL1 Bảng 8</t>
        </is>
      </c>
      <c r="B1" s="10" t="n"/>
      <c r="C1" s="10" t="n"/>
      <c r="D1" s="10" t="n"/>
      <c r="E1" s="10" t="n"/>
      <c r="F1" s="10" t="n"/>
      <c r="G1" s="10" t="n"/>
      <c r="H1" s="10" t="n"/>
      <c r="I1" s="10" t="n"/>
      <c r="J1" s="10" t="n"/>
      <c r="K1" s="10" t="n"/>
    </row>
    <row r="2" ht="28" customHeight="1">
      <c r="A2" s="8" t="inlineStr">
        <is>
          <t>Đơn vị: tỷ đồng. Ô nền vàng chữ xanh = nhập liệu. Số đang có là SỐ LIỆU MINH HOẠ, thay bằng số liệu thật. Cột (1)–(4): số dư đủ điều kiện phân theo thời gian đến hạn theo hợp đồng/dự kiến.</t>
        </is>
      </c>
      <c r="B2" s="10" t="n"/>
      <c r="C2" s="10" t="n"/>
      <c r="D2" s="10" t="n"/>
      <c r="E2" s="10" t="n"/>
      <c r="F2" s="10" t="n"/>
      <c r="G2" s="10" t="n"/>
      <c r="H2" s="10" t="n"/>
      <c r="I2" s="10" t="n"/>
      <c r="J2" s="10" t="n"/>
      <c r="K2" s="10" t="n"/>
    </row>
    <row r="3">
      <c r="A3" s="10" t="n"/>
      <c r="B3" s="10" t="n"/>
      <c r="C3" s="10" t="n"/>
      <c r="D3" s="10" t="n"/>
      <c r="E3" s="10" t="n"/>
      <c r="F3" s="10" t="n"/>
      <c r="G3" s="10" t="n"/>
      <c r="H3" s="10" t="n"/>
      <c r="I3" s="10" t="n"/>
      <c r="J3" s="10" t="n"/>
      <c r="K3" s="10" t="n"/>
    </row>
    <row r="4" ht="45" customHeight="1">
      <c r="A4" s="30" t="inlineStr">
        <is>
          <t>Mục</t>
        </is>
      </c>
      <c r="B4" s="30" t="inlineStr">
        <is>
          <t>Dòng tiền vào</t>
        </is>
      </c>
      <c r="C4" s="30" t="inlineStr">
        <is>
          <t>Ngày tiếp theo</t>
        </is>
      </c>
      <c r="D4" s="30" t="inlineStr">
        <is>
          <t>Từ ngày 2 đến ngày 7</t>
        </is>
      </c>
      <c r="E4" s="30" t="inlineStr">
        <is>
          <t>Từ ngày 8 đến ngày 14</t>
        </is>
      </c>
      <c r="F4" s="30" t="inlineStr">
        <is>
          <t>Từ ngày 15 đến ngày 30</t>
        </is>
      </c>
      <c r="G4" s="30" t="inlineStr">
        <is>
          <t>Tổng</t>
        </is>
      </c>
      <c r="H4" s="30" t="inlineStr">
        <is>
          <t>Hệ số thu tiền</t>
        </is>
      </c>
      <c r="I4" s="30" t="inlineStr">
        <is>
          <t>Giá trị dòng tiền vào theo mức độ rủi ro</t>
        </is>
      </c>
      <c r="J4" s="30" t="inlineStr">
        <is>
          <t>Nội dung hướng dẫn tại PL1</t>
        </is>
      </c>
      <c r="K4" s="30" t="inlineStr">
        <is>
          <t>Căn cứ / citation</t>
        </is>
      </c>
    </row>
    <row r="5">
      <c r="A5" s="38" t="inlineStr"/>
      <c r="B5" s="38" t="inlineStr"/>
      <c r="C5" s="38" t="inlineStr">
        <is>
          <t>(1)</t>
        </is>
      </c>
      <c r="D5" s="38" t="inlineStr">
        <is>
          <t>(2)</t>
        </is>
      </c>
      <c r="E5" s="38" t="inlineStr">
        <is>
          <t>(3)</t>
        </is>
      </c>
      <c r="F5" s="38" t="inlineStr">
        <is>
          <t>(4)</t>
        </is>
      </c>
      <c r="G5" s="38" t="inlineStr">
        <is>
          <t>(5)=∑[(1)÷(4)]</t>
        </is>
      </c>
      <c r="H5" s="38" t="inlineStr">
        <is>
          <t>(6)</t>
        </is>
      </c>
      <c r="I5" s="38" t="inlineStr">
        <is>
          <t>(7)=(5)x(6)</t>
        </is>
      </c>
      <c r="J5" s="38" t="inlineStr"/>
      <c r="K5" s="38" t="inlineStr"/>
    </row>
    <row r="6">
      <c r="A6" s="39" t="inlineStr">
        <is>
          <t>1</t>
        </is>
      </c>
      <c r="B6" s="40" t="inlineStr">
        <is>
          <t>Khoản cấp tín dụng có bảo đảm bằng tài sản tài chính hoặc giao dịch mua lại đảo ngược (reverse repo)</t>
        </is>
      </c>
      <c r="C6" s="41">
        <f>C7+C8+C9+C12+C13</f>
        <v/>
      </c>
      <c r="D6" s="41">
        <f>D7+D8+D9+D12+D13</f>
        <v/>
      </c>
      <c r="E6" s="41">
        <f>E7+E8+E9+E12+E13</f>
        <v/>
      </c>
      <c r="F6" s="41">
        <f>F7+F8+F9+F12+F13</f>
        <v/>
      </c>
      <c r="G6" s="41">
        <f>G7+G8+G9+G12+G13</f>
        <v/>
      </c>
      <c r="H6" s="42" t="n"/>
      <c r="I6" s="41">
        <f>I7+I8+I9+I12+I13</f>
        <v/>
      </c>
      <c r="J6" s="43" t="inlineStr"/>
      <c r="K6" s="43" t="n"/>
    </row>
    <row r="7">
      <c r="A7" s="22" t="inlineStr">
        <is>
          <t>1.1</t>
        </is>
      </c>
      <c r="B7" s="14" t="inlineStr">
        <is>
          <t>Tài sản cấp 1</t>
        </is>
      </c>
      <c r="C7" s="44" t="n">
        <v>1000</v>
      </c>
      <c r="D7" s="44" t="n">
        <v>500</v>
      </c>
      <c r="E7" s="44" t="n">
        <v>0</v>
      </c>
      <c r="F7" s="44" t="n">
        <v>0</v>
      </c>
      <c r="G7" s="45">
        <f>SUM(C7:F7)</f>
        <v/>
      </c>
      <c r="H7" s="24">
        <f>ThamSo!$E$55</f>
        <v/>
      </c>
      <c r="I7" s="45">
        <f>G7*H7</f>
        <v/>
      </c>
      <c r="J7" s="18" t="inlineStr">
        <is>
          <t>Khoản 2.1 và khoản 4a Mục II Phần C</t>
        </is>
      </c>
      <c r="K7" s="18" t="inlineStr">
        <is>
          <t>PL1.C.II.4.a (raw dòng 1900); [[src-tt50-2026-nhnn#^pl1-c2]]</t>
        </is>
      </c>
    </row>
    <row r="8">
      <c r="A8" s="22" t="inlineStr">
        <is>
          <t>1.2</t>
        </is>
      </c>
      <c r="B8" s="14" t="inlineStr">
        <is>
          <t>Tài sản cấp 2A</t>
        </is>
      </c>
      <c r="C8" s="44" t="n">
        <v>0</v>
      </c>
      <c r="D8" s="44" t="n">
        <v>200</v>
      </c>
      <c r="E8" s="44" t="n">
        <v>0</v>
      </c>
      <c r="F8" s="44" t="n">
        <v>0</v>
      </c>
      <c r="G8" s="45">
        <f>SUM(C8:F8)</f>
        <v/>
      </c>
      <c r="H8" s="24">
        <f>ThamSo!$E$56</f>
        <v/>
      </c>
      <c r="I8" s="45">
        <f>G8*H8</f>
        <v/>
      </c>
      <c r="J8" s="18" t="inlineStr">
        <is>
          <t>Khoản 2.2 và khoản 4b Mục II Phần C</t>
        </is>
      </c>
      <c r="K8" s="18" t="inlineStr">
        <is>
          <t>PL1.C.II.4.b (raw dòng 1901); [[src-tt50-2026-nhnn#^pl1-c2]]</t>
        </is>
      </c>
    </row>
    <row r="9">
      <c r="A9" s="39" t="inlineStr">
        <is>
          <t>1.3</t>
        </is>
      </c>
      <c r="B9" s="40" t="inlineStr">
        <is>
          <t>Tài sản cấp 2B</t>
        </is>
      </c>
      <c r="C9" s="41">
        <f>C10+C11</f>
        <v/>
      </c>
      <c r="D9" s="41">
        <f>D10+D11</f>
        <v/>
      </c>
      <c r="E9" s="41">
        <f>E10+E11</f>
        <v/>
      </c>
      <c r="F9" s="41">
        <f>F10+F11</f>
        <v/>
      </c>
      <c r="G9" s="41">
        <f>G10+G11</f>
        <v/>
      </c>
      <c r="H9" s="42" t="n"/>
      <c r="I9" s="41">
        <f>I10+I11</f>
        <v/>
      </c>
      <c r="J9" s="43" t="inlineStr"/>
      <c r="K9" s="43" t="n"/>
    </row>
    <row r="10">
      <c r="A10" s="22" t="inlineStr">
        <is>
          <t>1.3.1</t>
        </is>
      </c>
      <c r="B10" s="14" t="inlineStr">
        <is>
          <t>RMBS đủ điều kiện</t>
        </is>
      </c>
      <c r="C10" s="44" t="n">
        <v>0</v>
      </c>
      <c r="D10" s="44" t="n">
        <v>0</v>
      </c>
      <c r="E10" s="44" t="n">
        <v>0</v>
      </c>
      <c r="F10" s="44" t="n">
        <v>0</v>
      </c>
      <c r="G10" s="45">
        <f>SUM(C10:F10)</f>
        <v/>
      </c>
      <c r="H10" s="24">
        <f>ThamSo!$E$57</f>
        <v/>
      </c>
      <c r="I10" s="45">
        <f>G10*H10</f>
        <v/>
      </c>
      <c r="J10" s="18" t="inlineStr">
        <is>
          <t>Khoản 2.2 và khoản 4c Mục II Phần C</t>
        </is>
      </c>
      <c r="K10" s="18" t="inlineStr">
        <is>
          <t>PL1.C.II.4.c (raw dòng 1902); [[src-tt50-2026-nhnn#^pl1-c2]]</t>
        </is>
      </c>
    </row>
    <row r="11">
      <c r="A11" s="22" t="inlineStr">
        <is>
          <t>1.3.2</t>
        </is>
      </c>
      <c r="B11" s="14" t="inlineStr">
        <is>
          <t>Tài sản cấp 2B khác</t>
        </is>
      </c>
      <c r="C11" s="44" t="n">
        <v>0</v>
      </c>
      <c r="D11" s="44" t="n">
        <v>0</v>
      </c>
      <c r="E11" s="44" t="n">
        <v>0</v>
      </c>
      <c r="F11" s="44" t="n">
        <v>0</v>
      </c>
      <c r="G11" s="45">
        <f>SUM(C11:F11)</f>
        <v/>
      </c>
      <c r="H11" s="24">
        <f>ThamSo!$E$58</f>
        <v/>
      </c>
      <c r="I11" s="45">
        <f>G11*H11</f>
        <v/>
      </c>
      <c r="J11" s="18" t="inlineStr">
        <is>
          <t>Khoản 2.2 và khoản 4d Mục II Phần C</t>
        </is>
      </c>
      <c r="K11" s="18" t="inlineStr">
        <is>
          <t>PL1.C.II.4.d (raw dòng 1903); [[src-tt50-2026-nhnn#^pl1-c2]]</t>
        </is>
      </c>
    </row>
    <row r="12">
      <c r="A12" s="22" t="inlineStr">
        <is>
          <t>1.4</t>
        </is>
      </c>
      <c r="B12" s="14" t="inlineStr">
        <is>
          <t>Khoản cho vay ký quỹ</t>
        </is>
      </c>
      <c r="C12" s="44" t="n">
        <v>0</v>
      </c>
      <c r="D12" s="44" t="n">
        <v>0</v>
      </c>
      <c r="E12" s="44" t="n">
        <v>0</v>
      </c>
      <c r="F12" s="44" t="n">
        <v>0</v>
      </c>
      <c r="G12" s="45">
        <f>SUM(C12:F12)</f>
        <v/>
      </c>
      <c r="H12" s="24">
        <f>ThamSo!$E$59</f>
        <v/>
      </c>
      <c r="I12" s="45">
        <f>G12*H12</f>
        <v/>
      </c>
      <c r="J12" s="18" t="inlineStr">
        <is>
          <t>Khoản 3 và khoản 4đ Mục II Phần C</t>
        </is>
      </c>
      <c r="K12" s="18" t="inlineStr">
        <is>
          <t>PL1.C.II.4.đ (raw dòng 1904); [[src-tt50-2026-nhnn#^pl1-c2]]</t>
        </is>
      </c>
    </row>
    <row r="13">
      <c r="A13" s="22" t="inlineStr">
        <is>
          <t>1.5</t>
        </is>
      </c>
      <c r="B13" s="14" t="inlineStr">
        <is>
          <t>Các tài sản tài chính khác</t>
        </is>
      </c>
      <c r="C13" s="44" t="n">
        <v>0</v>
      </c>
      <c r="D13" s="44" t="n">
        <v>0</v>
      </c>
      <c r="E13" s="44" t="n">
        <v>300</v>
      </c>
      <c r="F13" s="44" t="n">
        <v>0</v>
      </c>
      <c r="G13" s="45">
        <f>SUM(C13:F13)</f>
        <v/>
      </c>
      <c r="H13" s="24">
        <f>ThamSo!$E$60</f>
        <v/>
      </c>
      <c r="I13" s="45">
        <f>G13*H13</f>
        <v/>
      </c>
      <c r="J13" s="18" t="inlineStr">
        <is>
          <t>Khoản 2.3 và khoản 4e Mục II Phần C</t>
        </is>
      </c>
      <c r="K13" s="18" t="inlineStr">
        <is>
          <t>PL1.C.II.4.e (raw dòng 1905); [[src-tt50-2026-nhnn#^pl1-c2]]</t>
        </is>
      </c>
    </row>
    <row r="14">
      <c r="A14" s="22" t="inlineStr">
        <is>
          <t>2</t>
        </is>
      </c>
      <c r="B14" s="14" t="inlineStr">
        <is>
          <t>Hạn mức tín dụng hoặc thanh khoản được cung cấp cho ngân hàng báo cáo</t>
        </is>
      </c>
      <c r="C14" s="44" t="n">
        <v>0</v>
      </c>
      <c r="D14" s="44" t="n">
        <v>0</v>
      </c>
      <c r="E14" s="44" t="n">
        <v>0</v>
      </c>
      <c r="F14" s="44" t="n">
        <v>0</v>
      </c>
      <c r="G14" s="45">
        <f>SUM(C14:F14)</f>
        <v/>
      </c>
      <c r="H14" s="24">
        <f>ThamSo!$E$61</f>
        <v/>
      </c>
      <c r="I14" s="45">
        <f>G14*H14</f>
        <v/>
      </c>
      <c r="J14" s="18" t="inlineStr">
        <is>
          <t>Mục III Phần C</t>
        </is>
      </c>
      <c r="K14" s="18" t="inlineStr">
        <is>
          <t>PL1.C.III (raw dòng 1911); [[src-tt50-2026-nhnn#^pl1-c1]]</t>
        </is>
      </c>
    </row>
    <row r="15">
      <c r="A15" s="39" t="inlineStr">
        <is>
          <t>3</t>
        </is>
      </c>
      <c r="B15" s="40" t="inlineStr">
        <is>
          <t>Tiền gửi hoạt động</t>
        </is>
      </c>
      <c r="C15" s="41">
        <f>C16+C17</f>
        <v/>
      </c>
      <c r="D15" s="41">
        <f>D16+D17</f>
        <v/>
      </c>
      <c r="E15" s="41">
        <f>E16+E17</f>
        <v/>
      </c>
      <c r="F15" s="41">
        <f>F16+F17</f>
        <v/>
      </c>
      <c r="G15" s="41">
        <f>G16+G17</f>
        <v/>
      </c>
      <c r="H15" s="42" t="n"/>
      <c r="I15" s="41">
        <f>I16+I17</f>
        <v/>
      </c>
      <c r="J15" s="43" t="inlineStr">
        <is>
          <t>Khoản 8 Mục IV Phần C</t>
        </is>
      </c>
      <c r="K15" s="43" t="n"/>
    </row>
    <row r="16">
      <c r="A16" s="22" t="inlineStr">
        <is>
          <t>3.1</t>
        </is>
      </c>
      <c r="B16" s="14" t="inlineStr">
        <is>
          <t>Tiền gửi hoạt động tại các tổ chức tài chính khác</t>
        </is>
      </c>
      <c r="C16" s="44" t="n">
        <v>800</v>
      </c>
      <c r="D16" s="44" t="n">
        <v>0</v>
      </c>
      <c r="E16" s="44" t="n">
        <v>0</v>
      </c>
      <c r="F16" s="44" t="n">
        <v>0</v>
      </c>
      <c r="G16" s="45">
        <f>SUM(C16:F16)</f>
        <v/>
      </c>
      <c r="H16" s="24">
        <f>ThamSo!$E$62</f>
        <v/>
      </c>
      <c r="I16" s="45">
        <f>G16*H16</f>
        <v/>
      </c>
      <c r="J16" s="18" t="inlineStr">
        <is>
          <t>Khoản 8a Mục IV Phần C</t>
        </is>
      </c>
      <c r="K16" s="18" t="inlineStr">
        <is>
          <t>PL1.C.IV.8.a (raw dòng 1949); [[src-tt50-2026-nhnn#^pl1-c4]]</t>
        </is>
      </c>
    </row>
    <row r="17">
      <c r="A17" s="22" t="inlineStr">
        <is>
          <t>3.2</t>
        </is>
      </c>
      <c r="B17" s="14" t="inlineStr">
        <is>
          <t>Phần tiền gửi dư thừa đủ điều kiện</t>
        </is>
      </c>
      <c r="C17" s="44" t="n">
        <v>0</v>
      </c>
      <c r="D17" s="44" t="n">
        <v>0</v>
      </c>
      <c r="E17" s="44" t="n">
        <v>0</v>
      </c>
      <c r="F17" s="44" t="n">
        <v>0</v>
      </c>
      <c r="G17" s="45">
        <f>SUM(C17:F17)</f>
        <v/>
      </c>
      <c r="H17" s="24">
        <f>ThamSo!$E$63</f>
        <v/>
      </c>
      <c r="I17" s="45">
        <f>G17*H17</f>
        <v/>
      </c>
      <c r="J17" s="18" t="inlineStr">
        <is>
          <t>Khoản 8b Mục IV Phần C</t>
        </is>
      </c>
      <c r="K17" s="18" t="inlineStr">
        <is>
          <t>PL1.C.IV.8.b (raw dòng 1951); chưa có claim trong source note</t>
        </is>
      </c>
    </row>
    <row r="18">
      <c r="A18" s="39" t="inlineStr">
        <is>
          <t>4</t>
        </is>
      </c>
      <c r="B18" s="40" t="inlineStr">
        <is>
          <t>Tiền gửi phát sinh từ hoạt động ngân hàng đại lý</t>
        </is>
      </c>
      <c r="C18" s="41">
        <f>C19+C20</f>
        <v/>
      </c>
      <c r="D18" s="41">
        <f>D19+D20</f>
        <v/>
      </c>
      <c r="E18" s="41">
        <f>E19+E20</f>
        <v/>
      </c>
      <c r="F18" s="41">
        <f>F19+F20</f>
        <v/>
      </c>
      <c r="G18" s="41">
        <f>G19+G20</f>
        <v/>
      </c>
      <c r="H18" s="42" t="n"/>
      <c r="I18" s="41">
        <f>I19+I20</f>
        <v/>
      </c>
      <c r="J18" s="43" t="inlineStr"/>
      <c r="K18" s="43" t="n"/>
    </row>
    <row r="19">
      <c r="A19" s="22" t="inlineStr">
        <is>
          <t>4.1</t>
        </is>
      </c>
      <c r="B19" s="14" t="inlineStr">
        <is>
          <t>Tiền gửi từ hoạt động ngân hàng đại lý</t>
        </is>
      </c>
      <c r="C19" s="44" t="n">
        <v>0</v>
      </c>
      <c r="D19" s="44" t="n">
        <v>0</v>
      </c>
      <c r="E19" s="44" t="n">
        <v>0</v>
      </c>
      <c r="F19" s="44" t="n">
        <v>0</v>
      </c>
      <c r="G19" s="45">
        <f>SUM(C19:F19)</f>
        <v/>
      </c>
      <c r="H19" s="24">
        <f>ThamSo!$E$64</f>
        <v/>
      </c>
      <c r="I19" s="45">
        <f>G19*H19</f>
        <v/>
      </c>
      <c r="J19" s="18" t="inlineStr">
        <is>
          <t>Khoản 9 Mục IV Phần C</t>
        </is>
      </c>
      <c r="K19" s="18" t="inlineStr">
        <is>
          <t>PL1.C.IV.9 (raw dòng 1953); chưa có claim trong source note</t>
        </is>
      </c>
    </row>
    <row r="20">
      <c r="A20" s="22" t="inlineStr">
        <is>
          <t>4.2</t>
        </is>
      </c>
      <c r="B20" s="14" t="inlineStr">
        <is>
          <t>Phần tiền gửi dư thừa đủ điều kiện</t>
        </is>
      </c>
      <c r="C20" s="44" t="n">
        <v>0</v>
      </c>
      <c r="D20" s="44" t="n">
        <v>0</v>
      </c>
      <c r="E20" s="44" t="n">
        <v>0</v>
      </c>
      <c r="F20" s="44" t="n">
        <v>0</v>
      </c>
      <c r="G20" s="45">
        <f>SUM(C20:F20)</f>
        <v/>
      </c>
      <c r="H20" s="24">
        <f>ThamSo!$E$65</f>
        <v/>
      </c>
      <c r="I20" s="45">
        <f>G20*H20</f>
        <v/>
      </c>
      <c r="J20" s="18" t="inlineStr">
        <is>
          <t>Khoản 9 Mục IV Phần C</t>
        </is>
      </c>
      <c r="K20" s="18" t="inlineStr">
        <is>
          <t>PL1.C.IV.9 (raw dòng 1953); chưa có claim trong source note</t>
        </is>
      </c>
    </row>
    <row r="21">
      <c r="A21" s="39" t="inlineStr">
        <is>
          <t>5</t>
        </is>
      </c>
      <c r="B21" s="40" t="inlineStr">
        <is>
          <t>Các dòng tiền vào theo đối tác</t>
        </is>
      </c>
      <c r="C21" s="41">
        <f>C22+C23+C27</f>
        <v/>
      </c>
      <c r="D21" s="41">
        <f>D22+D23+D27</f>
        <v/>
      </c>
      <c r="E21" s="41">
        <f>E22+E23+E27</f>
        <v/>
      </c>
      <c r="F21" s="41">
        <f>F22+F23+F27</f>
        <v/>
      </c>
      <c r="G21" s="41">
        <f>G22+G23+G27</f>
        <v/>
      </c>
      <c r="H21" s="42" t="n"/>
      <c r="I21" s="41">
        <f>I22+I23+I27</f>
        <v/>
      </c>
      <c r="J21" s="43" t="inlineStr">
        <is>
          <t>Mục IV Phần C</t>
        </is>
      </c>
      <c r="K21" s="43" t="n"/>
    </row>
    <row r="22">
      <c r="A22" s="22" t="inlineStr">
        <is>
          <t>5.1</t>
        </is>
      </c>
      <c r="B22" s="14" t="inlineStr">
        <is>
          <t>Khoản tiền phải thu từ khách hàng bán lẻ và doanh nghiệp nhỏ và vừa đủ điều kiện</t>
        </is>
      </c>
      <c r="C22" s="44" t="n">
        <v>300</v>
      </c>
      <c r="D22" s="44" t="n">
        <v>700</v>
      </c>
      <c r="E22" s="44" t="n">
        <v>800</v>
      </c>
      <c r="F22" s="44" t="n">
        <v>1800</v>
      </c>
      <c r="G22" s="45">
        <f>SUM(C22:F22)</f>
        <v/>
      </c>
      <c r="H22" s="24">
        <f>ThamSo!$E$66</f>
        <v/>
      </c>
      <c r="I22" s="45">
        <f>G22*H22</f>
        <v/>
      </c>
      <c r="J22" s="18" t="inlineStr">
        <is>
          <t>Khoản 5 Mục IV Phần C</t>
        </is>
      </c>
      <c r="K22" s="18" t="inlineStr">
        <is>
          <t>PL1.C.IV.5 (raw dòng 1925); [[src-tt50-2026-nhnn#^pl1-c4]]</t>
        </is>
      </c>
    </row>
    <row r="23">
      <c r="A23" s="39" t="inlineStr">
        <is>
          <t>5.2</t>
        </is>
      </c>
      <c r="B23" s="40" t="inlineStr">
        <is>
          <t>Khoản tiền phải thu từ doanh nghiệp, Chính phủ, tổ chức tài chính quốc tế, tổ chức công lập của Chính phủ</t>
        </is>
      </c>
      <c r="C23" s="41">
        <f>C24+C25+C26</f>
        <v/>
      </c>
      <c r="D23" s="41">
        <f>D24+D25+D26</f>
        <v/>
      </c>
      <c r="E23" s="41">
        <f>E24+E25+E26</f>
        <v/>
      </c>
      <c r="F23" s="41">
        <f>F24+F25+F26</f>
        <v/>
      </c>
      <c r="G23" s="41">
        <f>G24+G25+G26</f>
        <v/>
      </c>
      <c r="H23" s="42" t="n"/>
      <c r="I23" s="41">
        <f>I24+I25+I26</f>
        <v/>
      </c>
      <c r="J23" s="43" t="inlineStr"/>
      <c r="K23" s="43" t="n"/>
    </row>
    <row r="24">
      <c r="A24" s="22" t="inlineStr">
        <is>
          <t>5.2.1</t>
        </is>
      </c>
      <c r="B24" s="14" t="inlineStr">
        <is>
          <t>Doanh nghiệp không phải tổ chức tài chính</t>
        </is>
      </c>
      <c r="C24" s="44" t="n">
        <v>400</v>
      </c>
      <c r="D24" s="44" t="n">
        <v>900</v>
      </c>
      <c r="E24" s="44" t="n">
        <v>1100</v>
      </c>
      <c r="F24" s="44" t="n">
        <v>2400</v>
      </c>
      <c r="G24" s="45">
        <f>SUM(C24:F24)</f>
        <v/>
      </c>
      <c r="H24" s="24">
        <f>ThamSo!$E$67</f>
        <v/>
      </c>
      <c r="I24" s="45">
        <f>G24*H24</f>
        <v/>
      </c>
      <c r="J24" s="18" t="inlineStr">
        <is>
          <t>Điểm b(i) Khoản 6 Mục IV Phần C</t>
        </is>
      </c>
      <c r="K24" s="18" t="inlineStr">
        <is>
          <t>PL1.C.IV.6.b(i) (raw dòng 1933); [[src-tt50-2026-nhnn#^pl1-c4]]</t>
        </is>
      </c>
    </row>
    <row r="25">
      <c r="A25" s="22" t="inlineStr">
        <is>
          <t>5.2.2</t>
        </is>
      </c>
      <c r="B25" s="14" t="inlineStr">
        <is>
          <t>Chính phủ; Kho bạc Nhà nước, Ủy ban nhân dân tỉnh, thành phố trực thuộc Trung ương; Bảo hiểm tiền gửi Việt Nam</t>
        </is>
      </c>
      <c r="C25" s="44" t="n">
        <v>0</v>
      </c>
      <c r="D25" s="44" t="n">
        <v>0</v>
      </c>
      <c r="E25" s="44" t="n">
        <v>0</v>
      </c>
      <c r="F25" s="44" t="n">
        <v>0</v>
      </c>
      <c r="G25" s="45">
        <f>SUM(C25:F25)</f>
        <v/>
      </c>
      <c r="H25" s="24">
        <f>ThamSo!$E$68</f>
        <v/>
      </c>
      <c r="I25" s="45">
        <f>G25*H25</f>
        <v/>
      </c>
      <c r="J25" s="18" t="inlineStr">
        <is>
          <t>Điểm b(ii) khoản 6 Mục IV Phần C</t>
        </is>
      </c>
      <c r="K25" s="18" t="inlineStr">
        <is>
          <t>PL1.C.IV.6.b(ii) (raw dòng 1935); [[src-tt50-2026-nhnn#^pl1-c4]]</t>
        </is>
      </c>
    </row>
    <row r="26">
      <c r="A26" s="22" t="inlineStr">
        <is>
          <t>5.2.3</t>
        </is>
      </c>
      <c r="B26" s="14" t="inlineStr">
        <is>
          <t>Các tổ chức khác</t>
        </is>
      </c>
      <c r="C26" s="44" t="n">
        <v>0</v>
      </c>
      <c r="D26" s="44" t="n">
        <v>0</v>
      </c>
      <c r="E26" s="44" t="n">
        <v>0</v>
      </c>
      <c r="F26" s="44" t="n">
        <v>0</v>
      </c>
      <c r="G26" s="45">
        <f>SUM(C26:F26)</f>
        <v/>
      </c>
      <c r="H26" s="24">
        <f>ThamSo!$E$69</f>
        <v/>
      </c>
      <c r="I26" s="45">
        <f>G26*H26</f>
        <v/>
      </c>
      <c r="J26" s="18" t="inlineStr">
        <is>
          <t>Điểm b(iii), b(iv), b(v) khoản 6 Mục IV Phần C</t>
        </is>
      </c>
      <c r="K26" s="18" t="inlineStr">
        <is>
          <t>PL1.C.IV.6.b(iii)–(v) (raw dòng 1937); [[src-tt50-2026-nhnn#^pl1-c4]]</t>
        </is>
      </c>
    </row>
    <row r="27">
      <c r="A27" s="22" t="inlineStr">
        <is>
          <t>5.3</t>
        </is>
      </c>
      <c r="B27" s="14" t="inlineStr">
        <is>
          <t>Khoản tiền phải thu từ tổ chức tài chính và Ngân hàng Nhà nước</t>
        </is>
      </c>
      <c r="C27" s="44" t="n">
        <v>800</v>
      </c>
      <c r="D27" s="44" t="n">
        <v>600</v>
      </c>
      <c r="E27" s="44" t="n">
        <v>500</v>
      </c>
      <c r="F27" s="44" t="n">
        <v>700</v>
      </c>
      <c r="G27" s="45">
        <f>SUM(C27:F27)</f>
        <v/>
      </c>
      <c r="H27" s="24">
        <f>ThamSo!$E$70</f>
        <v/>
      </c>
      <c r="I27" s="45">
        <f>G27*H27</f>
        <v/>
      </c>
      <c r="J27" s="18" t="inlineStr">
        <is>
          <t>Khoản 6a Mục IV Phần C</t>
        </is>
      </c>
      <c r="K27" s="18" t="inlineStr">
        <is>
          <t>PL1.C.IV.6.a (raw dòng 1929); [[src-tt50-2026-nhnn#^pl1-c4]]</t>
        </is>
      </c>
    </row>
    <row r="28">
      <c r="A28" s="22" t="inlineStr">
        <is>
          <t>6</t>
        </is>
      </c>
      <c r="B28" s="14" t="inlineStr">
        <is>
          <t>Dòng tiền vào ròng từ công cụ phái sinh</t>
        </is>
      </c>
      <c r="C28" s="44" t="n">
        <v>40</v>
      </c>
      <c r="D28" s="44" t="n">
        <v>90</v>
      </c>
      <c r="E28" s="44" t="n">
        <v>60</v>
      </c>
      <c r="F28" s="44" t="n">
        <v>150</v>
      </c>
      <c r="G28" s="45">
        <f>SUM(C28:F28)</f>
        <v/>
      </c>
      <c r="H28" s="24">
        <f>ThamSo!$E$71</f>
        <v/>
      </c>
      <c r="I28" s="45">
        <f>G28*H28</f>
        <v/>
      </c>
      <c r="J28" s="18" t="inlineStr">
        <is>
          <t>Mục V Phần C</t>
        </is>
      </c>
      <c r="K28" s="18" t="inlineStr">
        <is>
          <t>PL1.C.V.1 (raw dòng 1957); chưa có claim trong source note</t>
        </is>
      </c>
    </row>
    <row r="29">
      <c r="A29" s="22" t="inlineStr">
        <is>
          <t>7</t>
        </is>
      </c>
      <c r="B29" s="14" t="inlineStr">
        <is>
          <t>Dòng tiền vào từ chứng khoán đáo hạn trong vòng 30 ngày nhưng chứng khoán không thuộc danh mục HQLA đủ tiêu chuẩn</t>
        </is>
      </c>
      <c r="C29" s="44" t="n">
        <v>0</v>
      </c>
      <c r="D29" s="44" t="n">
        <v>300</v>
      </c>
      <c r="E29" s="44" t="n">
        <v>0</v>
      </c>
      <c r="F29" s="44" t="n">
        <v>500</v>
      </c>
      <c r="G29" s="45">
        <f>SUM(C29:F29)</f>
        <v/>
      </c>
      <c r="H29" s="24">
        <f>ThamSo!$E$72</f>
        <v/>
      </c>
      <c r="I29" s="45">
        <f>G29*H29</f>
        <v/>
      </c>
      <c r="J29" s="18" t="inlineStr">
        <is>
          <t>Khoản 7 Mục IV Phần C</t>
        </is>
      </c>
      <c r="K29" s="18" t="inlineStr">
        <is>
          <t>PL1.C.IV.7 (raw dòng 1943); [[src-tt50-2026-nhnn#^pl1-c4]]</t>
        </is>
      </c>
    </row>
    <row r="30">
      <c r="A30" s="48" t="inlineStr">
        <is>
          <t>Tổng dòng tiền vào</t>
        </is>
      </c>
      <c r="B30" s="54" t="n"/>
      <c r="C30" s="49">
        <f>C6+C14+C15+C18+C21+C28+C29</f>
        <v/>
      </c>
      <c r="D30" s="49">
        <f>D6+D14+D15+D18+D21+D28+D29</f>
        <v/>
      </c>
      <c r="E30" s="49">
        <f>E6+E14+E15+E18+E21+E28+E29</f>
        <v/>
      </c>
      <c r="F30" s="49">
        <f>F6+F14+F15+F18+F21+F28+F29</f>
        <v/>
      </c>
      <c r="G30" s="49">
        <f>G6+G14+G15+G18+G21+G28+G29</f>
        <v/>
      </c>
      <c r="H30" s="48" t="n"/>
      <c r="I30" s="49">
        <f>I6+I14+I15+I18+I21+I28+I29</f>
        <v/>
      </c>
      <c r="J30" s="48" t="n"/>
      <c r="K30" s="48" t="n"/>
    </row>
  </sheetData>
  <mergeCells count="2">
    <mergeCell ref="A2:K2"/>
    <mergeCell ref="A30:B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2026-10-20T13:43:40Z</dcterms:created>
  <dcterms:modified xmlns:dcterms="http://purl.org/dc/terms/" xmlns:xsi="http://www.w3.org/2001/XMLSchema-instance" xsi:type="dcterms:W3CDTF">2026-10-20T13:43:40Z</dcterms:modified>
</cp:coreProperties>
</file>